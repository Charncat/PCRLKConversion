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Moutia\Documents\duplex_lk_file_conversion\"/>
    </mc:Choice>
  </mc:AlternateContent>
  <xr:revisionPtr revIDLastSave="0" documentId="13_ncr:1_{3F90BE1B-A794-4734-B6EA-C5A2908836F0}" xr6:coauthVersionLast="47" xr6:coauthVersionMax="47" xr10:uidLastSave="{00000000-0000-0000-0000-000000000000}"/>
  <bookViews>
    <workbookView xWindow="-135" yWindow="-135" windowWidth="29070" windowHeight="15750" xr2:uid="{22471C76-7BC3-4D9C-8669-E99E799B1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 s="1"/>
</calcChain>
</file>

<file path=xl/sharedStrings.xml><?xml version="1.0" encoding="utf-8"?>
<sst xmlns="http://schemas.openxmlformats.org/spreadsheetml/2006/main" count="79" uniqueCount="64">
  <si>
    <t>Component</t>
  </si>
  <si>
    <t>Supplier</t>
  </si>
  <si>
    <t>Cat. No.</t>
  </si>
  <si>
    <t>TaqMan® Fast Advanced Master Mix (5x5mL)</t>
  </si>
  <si>
    <t>RNase P Primer-Probe (FAM)</t>
  </si>
  <si>
    <t>Human Genomic DNA</t>
  </si>
  <si>
    <t>Promega</t>
  </si>
  <si>
    <t>G3041</t>
  </si>
  <si>
    <t>Microbial Community DNA Standard (2000ng)</t>
  </si>
  <si>
    <t>ZymoBIOMICS</t>
  </si>
  <si>
    <t>D6306</t>
  </si>
  <si>
    <t>Nuclease free water or suitable alternative</t>
  </si>
  <si>
    <t>QIAGEN</t>
  </si>
  <si>
    <t>N/A</t>
  </si>
  <si>
    <t>Asset #</t>
  </si>
  <si>
    <t>Item</t>
  </si>
  <si>
    <t>Make</t>
  </si>
  <si>
    <t>Model</t>
  </si>
  <si>
    <t>Serial number</t>
  </si>
  <si>
    <t>Laminar Flow Cabinet</t>
  </si>
  <si>
    <t>StarLab</t>
  </si>
  <si>
    <t>GuardOne</t>
  </si>
  <si>
    <t>9206IL 200028</t>
  </si>
  <si>
    <t>00131</t>
  </si>
  <si>
    <t>AppliedBiosystems</t>
  </si>
  <si>
    <t>QuantStudio 1</t>
  </si>
  <si>
    <t>Roche</t>
  </si>
  <si>
    <t>LightCycler 480 II, 96</t>
  </si>
  <si>
    <t>Mini Vortexer</t>
  </si>
  <si>
    <t>Heathrow Scientific</t>
  </si>
  <si>
    <t>HSA09547</t>
  </si>
  <si>
    <t>MiniSpin</t>
  </si>
  <si>
    <t xml:space="preserve">Eppendorf </t>
  </si>
  <si>
    <t>Various</t>
  </si>
  <si>
    <t>5452HR504062.</t>
  </si>
  <si>
    <t>Corning</t>
  </si>
  <si>
    <t>BioShaker iQ</t>
  </si>
  <si>
    <t>Qinstrument</t>
  </si>
  <si>
    <t>Lot #</t>
  </si>
  <si>
    <t>Reagents</t>
  </si>
  <si>
    <t>Equipment</t>
  </si>
  <si>
    <t>Thermocycler</t>
  </si>
  <si>
    <t>Plate Centrifuge</t>
  </si>
  <si>
    <t>Plate shaker</t>
  </si>
  <si>
    <t>Conc, ng/uL</t>
  </si>
  <si>
    <t>Notes</t>
  </si>
  <si>
    <t>ThermoFisher Scientific</t>
  </si>
  <si>
    <t>Human DNA Male control</t>
  </si>
  <si>
    <t>uL for 60uL STD#1</t>
  </si>
  <si>
    <t>16S Primer-Probe (VIC)</t>
  </si>
  <si>
    <t>TE (1X) buffer (pH8.0)</t>
  </si>
  <si>
    <t>date</t>
  </si>
  <si>
    <t>operator</t>
  </si>
  <si>
    <t>Run details</t>
  </si>
  <si>
    <t>3397089 (Verified)</t>
  </si>
  <si>
    <t>3392041 (Verified)</t>
  </si>
  <si>
    <t>0000660541 (Verified)</t>
  </si>
  <si>
    <t>3189020 (Verified)</t>
  </si>
  <si>
    <t>P260331-006-H09 (Verified)</t>
  </si>
  <si>
    <t>271028 (Verified)</t>
  </si>
  <si>
    <t>DEN315</t>
  </si>
  <si>
    <t>Run ID</t>
  </si>
  <si>
    <t>nesaghi amuthavel</t>
  </si>
  <si>
    <t>00064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</si>
</sst>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0" xfId="0" applyFill="1"/>
    <xf numFmtId="2" fontId="1" fillId="4" borderId="1" xfId="0" applyNumberFormat="1" applyFont="1" applyFill="1" applyBorder="1"/>
    <xf numFmtId="14" fontId="0" fillId="0" borderId="1" xfId="0" applyNumberFormat="1" applyBorder="1"/>
    <xf numFmtId="4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A877-43D3-4FB6-8D17-D28649A82177}">
  <dimension ref="B1:K24"/>
  <sheetViews>
    <sheetView tabSelected="1" workbookViewId="0">
      <selection activeCell="F21" sqref="F21"/>
    </sheetView>
  </sheetViews>
  <sheetFormatPr defaultRowHeight="14.4" x14ac:dyDescent="0.3"/>
  <cols>
    <col min="1" max="1" width="2.77734375" customWidth="1"/>
    <col min="2" max="2" width="37.77734375" style="1" bestFit="1" customWidth="1"/>
    <col min="3" max="3" width="20" style="1" bestFit="1" customWidth="1"/>
    <col min="4" max="4" width="17.6640625" style="1" bestFit="1" customWidth="1"/>
    <col min="5" max="5" width="13.77734375" bestFit="1" customWidth="1"/>
    <col min="6" max="6" width="10.44140625" bestFit="1" customWidth="1"/>
    <col min="7" max="7" width="15.21875" bestFit="1" customWidth="1"/>
    <col min="8" max="8" width="12.109375" bestFit="1" customWidth="1"/>
    <col min="9" max="9" width="10.21875" bestFit="1" customWidth="1"/>
    <col min="10" max="10" width="13.44140625" customWidth="1"/>
    <col min="11" max="11" width="11.33203125" customWidth="1"/>
  </cols>
  <sheetData>
    <row r="1" spans="2:11" ht="9" customHeight="1" x14ac:dyDescent="0.3"/>
    <row r="2" spans="2:11" x14ac:dyDescent="0.3">
      <c r="B2" s="6" t="s">
        <v>39</v>
      </c>
      <c r="H2" s="6"/>
      <c r="I2" s="5" t="s">
        <v>53</v>
      </c>
    </row>
    <row r="4" spans="2:11" x14ac:dyDescent="0.3">
      <c r="B4" s="2" t="s">
        <v>0</v>
      </c>
      <c r="C4" s="2" t="s">
        <v>1</v>
      </c>
      <c r="D4" s="2" t="s">
        <v>2</v>
      </c>
      <c r="E4" s="2" t="s">
        <v>38</v>
      </c>
      <c r="F4" s="7" t="s">
        <v>44</v>
      </c>
      <c r="G4" s="8" t="s">
        <v>48</v>
      </c>
      <c r="I4" s="7" t="s">
        <v>61</v>
      </c>
      <c r="J4" s="7" t="s">
        <v>51</v>
      </c>
      <c r="K4" s="7" t="s">
        <v>52</v>
      </c>
    </row>
    <row r="5" spans="2:11" x14ac:dyDescent="0.3">
      <c r="B5" s="3" t="s">
        <v>3</v>
      </c>
      <c r="C5" s="3" t="s">
        <v>46</v>
      </c>
      <c r="D5" s="3">
        <v>13438456</v>
      </c>
      <c r="E5" s="4" t="s">
        <v>54</v>
      </c>
      <c r="F5" s="9" t="s">
        <v>13</v>
      </c>
      <c r="G5" s="9" t="s">
        <v>13</v>
      </c>
      <c r="I5" s="4" t="s">
        <v>60</v>
      </c>
      <c r="J5" s="12">
        <v>46139</v>
      </c>
      <c r="K5" s="4" t="s">
        <v>62</v>
      </c>
    </row>
    <row r="6" spans="2:11" x14ac:dyDescent="0.3">
      <c r="B6" s="3" t="s">
        <v>4</v>
      </c>
      <c r="C6" s="3" t="s">
        <v>46</v>
      </c>
      <c r="D6" s="3">
        <v>4316831</v>
      </c>
      <c r="E6" s="4" t="s">
        <v>55</v>
      </c>
      <c r="F6" s="9" t="s">
        <v>13</v>
      </c>
      <c r="G6" s="9" t="s">
        <v>13</v>
      </c>
    </row>
    <row r="7" spans="2:11" x14ac:dyDescent="0.3">
      <c r="B7" s="3" t="s">
        <v>49</v>
      </c>
      <c r="C7" s="3" t="s">
        <v>46</v>
      </c>
      <c r="D7" s="3">
        <v>11957021</v>
      </c>
      <c r="E7" s="4" t="s">
        <v>58</v>
      </c>
      <c r="F7" s="9" t="s">
        <v>13</v>
      </c>
      <c r="G7" s="9" t="s">
        <v>13</v>
      </c>
    </row>
    <row r="8" spans="2:11" x14ac:dyDescent="0.3">
      <c r="B8" s="3" t="s">
        <v>50</v>
      </c>
      <c r="C8" s="3" t="s">
        <v>46</v>
      </c>
      <c r="D8" s="3">
        <v>10224683</v>
      </c>
      <c r="E8" s="4"/>
      <c r="F8" s="9" t="s">
        <v>13</v>
      </c>
      <c r="G8" s="9" t="s">
        <v>13</v>
      </c>
    </row>
    <row r="9" spans="2:11" x14ac:dyDescent="0.3">
      <c r="B9" s="3" t="s">
        <v>47</v>
      </c>
      <c r="C9" s="3" t="s">
        <v>46</v>
      </c>
      <c r="D9" s="3">
        <v>360486</v>
      </c>
      <c r="E9" s="4" t="s">
        <v>57</v>
      </c>
      <c r="F9" s="9">
        <v>10</v>
      </c>
      <c r="G9" s="9" t="s">
        <v>13</v>
      </c>
    </row>
    <row r="10" spans="2:11" x14ac:dyDescent="0.3">
      <c r="B10" s="3" t="s">
        <v>11</v>
      </c>
      <c r="C10" s="3" t="s">
        <v>12</v>
      </c>
      <c r="D10" s="3">
        <v>1039498</v>
      </c>
      <c r="E10" s="4">
        <v>181038038</v>
      </c>
      <c r="F10" s="9" t="s">
        <v>13</v>
      </c>
      <c r="G10" s="11">
        <f>60-G11-G12</f>
        <v>34.799999999999997</v>
      </c>
    </row>
    <row r="11" spans="2:11" x14ac:dyDescent="0.3">
      <c r="B11" s="3" t="s">
        <v>5</v>
      </c>
      <c r="C11" s="3" t="s">
        <v>6</v>
      </c>
      <c r="D11" s="3" t="s">
        <v>7</v>
      </c>
      <c r="E11" s="4" t="s">
        <v>56</v>
      </c>
      <c r="F11" s="10">
        <v>250</v>
      </c>
      <c r="G11" s="11">
        <f>60*80/F11</f>
        <v>19.2</v>
      </c>
    </row>
    <row r="12" spans="2:11" x14ac:dyDescent="0.3">
      <c r="B12" s="3" t="s">
        <v>8</v>
      </c>
      <c r="C12" s="3" t="s">
        <v>9</v>
      </c>
      <c r="D12" s="3" t="s">
        <v>10</v>
      </c>
      <c r="E12" s="4" t="s">
        <v>59</v>
      </c>
      <c r="F12" s="4">
        <v>100</v>
      </c>
      <c r="G12" s="11">
        <f>60*10/F12</f>
        <v>6</v>
      </c>
    </row>
    <row r="15" spans="2:11" x14ac:dyDescent="0.3">
      <c r="B15" s="5" t="s">
        <v>40</v>
      </c>
    </row>
    <row r="17" spans="2:7" x14ac:dyDescent="0.3">
      <c r="B17" s="2" t="s">
        <v>15</v>
      </c>
      <c r="C17" s="7" t="s">
        <v>16</v>
      </c>
      <c r="D17" s="7" t="s">
        <v>17</v>
      </c>
      <c r="E17" s="7" t="s">
        <v>18</v>
      </c>
      <c r="F17" s="7" t="s">
        <v>14</v>
      </c>
      <c r="G17" s="7" t="s">
        <v>45</v>
      </c>
    </row>
    <row r="18" spans="2:7" x14ac:dyDescent="0.3">
      <c r="B18" s="3" t="s">
        <v>19</v>
      </c>
      <c r="C18" s="4" t="s">
        <v>20</v>
      </c>
      <c r="D18" s="3" t="s">
        <v>21</v>
      </c>
      <c r="E18" s="3" t="s">
        <v>22</v>
      </c>
      <c r="F18" s="3">
        <v>60</v>
      </c>
      <c r="G18" s="4"/>
    </row>
    <row r="19" spans="2:7" x14ac:dyDescent="0.3">
      <c r="B19" s="3" t="s">
        <v>41</v>
      </c>
      <c r="C19" s="4" t="s">
        <v>24</v>
      </c>
      <c r="D19" s="3" t="s">
        <v>25</v>
      </c>
      <c r="E19" s="3">
        <v>2721224090023</v>
      </c>
      <c r="F19" s="3" t="s">
        <v>23</v>
      </c>
      <c r="G19" s="4"/>
    </row>
    <row r="20" spans="2:7" x14ac:dyDescent="0.3">
      <c r="B20" s="3" t="s">
        <v>41</v>
      </c>
      <c r="C20" s="4" t="s">
        <v>26</v>
      </c>
      <c r="D20" s="3" t="s">
        <v>27</v>
      </c>
      <c r="E20" s="3">
        <v>32258</v>
      </c>
      <c r="F20" s="13" t="s">
        <v>63</v>
      </c>
      <c r="G20" s="4"/>
    </row>
    <row r="21" spans="2:7" x14ac:dyDescent="0.3">
      <c r="B21" s="3" t="s">
        <v>28</v>
      </c>
      <c r="C21" s="4" t="s">
        <v>29</v>
      </c>
      <c r="D21" s="3">
        <v>120567</v>
      </c>
      <c r="E21" s="3" t="s">
        <v>30</v>
      </c>
      <c r="F21" s="3">
        <v>73</v>
      </c>
      <c r="G21" s="4"/>
    </row>
    <row r="22" spans="2:7" x14ac:dyDescent="0.3">
      <c r="B22" s="3" t="s">
        <v>31</v>
      </c>
      <c r="C22" s="4" t="s">
        <v>32</v>
      </c>
      <c r="D22" s="3" t="s">
        <v>33</v>
      </c>
      <c r="E22" s="3" t="s">
        <v>34</v>
      </c>
      <c r="F22" s="3">
        <v>74</v>
      </c>
      <c r="G22" s="4"/>
    </row>
    <row r="23" spans="2:7" x14ac:dyDescent="0.3">
      <c r="B23" s="3" t="s">
        <v>42</v>
      </c>
      <c r="C23" s="4" t="s">
        <v>35</v>
      </c>
      <c r="D23" s="3" t="s">
        <v>33</v>
      </c>
      <c r="E23" s="3">
        <v>22132009</v>
      </c>
      <c r="F23" s="3">
        <v>98</v>
      </c>
      <c r="G23" s="4"/>
    </row>
    <row r="24" spans="2:7" x14ac:dyDescent="0.3">
      <c r="B24" s="3" t="s">
        <v>43</v>
      </c>
      <c r="C24" s="4" t="s">
        <v>37</v>
      </c>
      <c r="D24" s="3" t="s">
        <v>36</v>
      </c>
      <c r="E24" s="3">
        <v>26656</v>
      </c>
      <c r="F24" s="3">
        <v>89</v>
      </c>
      <c r="G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Pchelintsev</dc:creator>
  <cp:lastModifiedBy>Daniel Moutia</cp:lastModifiedBy>
  <dcterms:created xsi:type="dcterms:W3CDTF">2026-09-17T08:15:24Z</dcterms:created>
  <dcterms:modified xsi:type="dcterms:W3CDTF">2026-09-24T07:36:55Z</dcterms:modified>
</cp:coreProperties>
</file>