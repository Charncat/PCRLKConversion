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riginsciences-my.sharepoint.com/personal/kamrun_patel_originsciences_com/Documents/Documents/To Organise/TRIOMIC/6) EnrichExtract/"/>
    </mc:Choice>
  </mc:AlternateContent>
  <xr:revisionPtr revIDLastSave="48" documentId="8_{2547DAEF-A40E-4DCF-919E-BA14E0CCB1CE}" xr6:coauthVersionLast="47" xr6:coauthVersionMax="47" xr10:uidLastSave="{98171F6D-9CED-4A39-B875-DC56967E3217}"/>
  <workbookProtection workbookAlgorithmName="SHA-512" workbookHashValue="05cV4u/+3EtXD/TFwILm8ymBEy/huwC+pbXr0mFtZKrqxxT+KjpXZKgM5jqcpZdCGYzOa4Vf/xB7l2+9KGAJzw==" workbookSaltValue="x686Wi/obG0G63sHiXCuxw==" workbookSpinCount="100000" lockStructure="1"/>
  <bookViews>
    <workbookView xWindow="-57720" yWindow="-120" windowWidth="29040" windowHeight="15840" tabRatio="877" activeTab="9" xr2:uid="{00000000-000D-0000-FFFF-FFFF00000000}"/>
  </bookViews>
  <sheets>
    <sheet name="Experiment Overview" sheetId="11" r:id="rId1"/>
    <sheet name="Sample List" sheetId="17" r:id="rId2"/>
    <sheet name="Standards" sheetId="28" r:id="rId3"/>
    <sheet name="qPCR Setup" sheetId="25" r:id="rId4"/>
    <sheet name="LC Raw Results" sheetId="22" state="hidden" r:id="rId5"/>
    <sheet name="LC Calculations" sheetId="29" state="hidden" r:id="rId6"/>
    <sheet name="LC Analysis" sheetId="9" state="hidden" r:id="rId7"/>
    <sheet name="QS Raw Results" sheetId="31" r:id="rId8"/>
    <sheet name="QS Calculations" sheetId="34" state="hidden" r:id="rId9"/>
    <sheet name="QS RNase P Analysis" sheetId="38" r:id="rId10"/>
    <sheet name="QS 16S Analysis" sheetId="39" r:id="rId11"/>
    <sheet name="Result Export" sheetId="30" r:id="rId12"/>
    <sheet name="Revision History" sheetId="27" state="hidden" r:id="rId13"/>
  </sheets>
  <externalReferences>
    <externalReference r:id="rId1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0" l="1"/>
  <c r="V4" i="30"/>
  <c r="V5" i="30"/>
  <c r="V6" i="30"/>
  <c r="V7" i="30"/>
  <c r="V8" i="30"/>
  <c r="V9" i="30"/>
  <c r="V10" i="30"/>
  <c r="V11" i="30"/>
  <c r="V12" i="30"/>
  <c r="V13" i="30"/>
  <c r="V14" i="30"/>
  <c r="V15" i="30"/>
  <c r="V16" i="30"/>
  <c r="V17" i="30"/>
  <c r="V18" i="30"/>
  <c r="V19" i="30"/>
  <c r="V20" i="30"/>
  <c r="V21" i="30"/>
  <c r="V22" i="30"/>
  <c r="V23" i="30"/>
  <c r="V24" i="30"/>
  <c r="V25" i="30"/>
  <c r="V2" i="30"/>
  <c r="U3" i="30"/>
  <c r="U4" i="30"/>
  <c r="U5" i="30"/>
  <c r="U6" i="30"/>
  <c r="U7" i="30"/>
  <c r="U8" i="30"/>
  <c r="U9" i="30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" i="30"/>
  <c r="T3" i="30"/>
  <c r="T4" i="30"/>
  <c r="T5" i="30"/>
  <c r="T6" i="30"/>
  <c r="T7" i="30"/>
  <c r="T8" i="30"/>
  <c r="T9" i="30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" i="30"/>
  <c r="S3" i="30"/>
  <c r="S4" i="30"/>
  <c r="S5" i="30"/>
  <c r="S6" i="30"/>
  <c r="S7" i="30"/>
  <c r="S8" i="30"/>
  <c r="S9" i="30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" i="30"/>
  <c r="R3" i="30"/>
  <c r="R4" i="30"/>
  <c r="R5" i="30"/>
  <c r="R6" i="30"/>
  <c r="R7" i="30"/>
  <c r="R8" i="30"/>
  <c r="R9" i="30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Q3" i="30"/>
  <c r="Q4" i="30"/>
  <c r="Q5" i="30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R2" i="30"/>
  <c r="Q2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" i="30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" i="30"/>
  <c r="A1" i="31"/>
  <c r="C7" i="39" l="1"/>
  <c r="C7" i="38"/>
  <c r="K23" i="39" l="1"/>
  <c r="A1" i="39" l="1"/>
  <c r="A1" i="38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 l="1"/>
  <c r="B31" i="39"/>
  <c r="K28" i="39"/>
  <c r="K27" i="39"/>
  <c r="K26" i="39"/>
  <c r="K25" i="39"/>
  <c r="K24" i="39"/>
  <c r="D19" i="34" l="1" a="1"/>
  <c r="D19" i="34" s="1"/>
  <c r="E19" i="34" a="1"/>
  <c r="E19" i="34" s="1"/>
  <c r="F19" i="34" a="1"/>
  <c r="F19" i="34" s="1"/>
  <c r="G19" i="34" a="1"/>
  <c r="G19" i="34" s="1"/>
  <c r="H19" i="34" a="1"/>
  <c r="H19" i="34" s="1"/>
  <c r="I19" i="34" a="1"/>
  <c r="I19" i="34" s="1"/>
  <c r="J19" i="34" a="1"/>
  <c r="J19" i="34" s="1"/>
  <c r="K19" i="34" a="1"/>
  <c r="K19" i="34" s="1"/>
  <c r="L19" i="34" a="1"/>
  <c r="L19" i="34" s="1"/>
  <c r="M19" i="34" a="1"/>
  <c r="M19" i="34" s="1"/>
  <c r="N19" i="34" a="1"/>
  <c r="N19" i="34" s="1"/>
  <c r="D20" i="34" a="1"/>
  <c r="D20" i="34" s="1"/>
  <c r="E20" i="34" a="1"/>
  <c r="E20" i="34" s="1"/>
  <c r="F20" i="34" a="1"/>
  <c r="F20" i="34" s="1"/>
  <c r="G20" i="34" a="1"/>
  <c r="G20" i="34" s="1"/>
  <c r="H20" i="34" a="1"/>
  <c r="H20" i="34" s="1"/>
  <c r="I20" i="34" a="1"/>
  <c r="I20" i="34" s="1"/>
  <c r="J20" i="34" a="1"/>
  <c r="J20" i="34" s="1"/>
  <c r="K20" i="34" a="1"/>
  <c r="K20" i="34" s="1"/>
  <c r="L20" i="34" a="1"/>
  <c r="L20" i="34" s="1"/>
  <c r="M20" i="34" a="1"/>
  <c r="M20" i="34" s="1"/>
  <c r="N20" i="34" a="1"/>
  <c r="N20" i="34" s="1"/>
  <c r="D21" i="34" a="1"/>
  <c r="D21" i="34" s="1"/>
  <c r="E21" i="34" a="1"/>
  <c r="E21" i="34" s="1"/>
  <c r="F21" i="34" a="1"/>
  <c r="F21" i="34" s="1"/>
  <c r="G21" i="34" a="1"/>
  <c r="G21" i="34" s="1"/>
  <c r="H21" i="34" a="1"/>
  <c r="H21" i="34" s="1"/>
  <c r="I21" i="34" a="1"/>
  <c r="I21" i="34" s="1"/>
  <c r="J21" i="34" a="1"/>
  <c r="J21" i="34" s="1"/>
  <c r="K21" i="34" a="1"/>
  <c r="K21" i="34" s="1"/>
  <c r="L21" i="34" a="1"/>
  <c r="L21" i="34" s="1"/>
  <c r="M21" i="34" a="1"/>
  <c r="M21" i="34" s="1"/>
  <c r="N21" i="34" a="1"/>
  <c r="N21" i="34" s="1"/>
  <c r="D22" i="34" a="1"/>
  <c r="D22" i="34" s="1"/>
  <c r="E22" i="34" a="1"/>
  <c r="E22" i="34" s="1"/>
  <c r="F22" i="34" a="1"/>
  <c r="F22" i="34" s="1"/>
  <c r="G22" i="34" a="1"/>
  <c r="G22" i="34" s="1"/>
  <c r="H22" i="34" a="1"/>
  <c r="H22" i="34" s="1"/>
  <c r="I22" i="34" a="1"/>
  <c r="I22" i="34" s="1"/>
  <c r="J22" i="34" a="1"/>
  <c r="J22" i="34" s="1"/>
  <c r="K22" i="34" a="1"/>
  <c r="K22" i="34" s="1"/>
  <c r="L22" i="34" a="1"/>
  <c r="L22" i="34" s="1"/>
  <c r="M22" i="34" a="1"/>
  <c r="M22" i="34" s="1"/>
  <c r="N22" i="34" a="1"/>
  <c r="N22" i="34" s="1"/>
  <c r="D23" i="34" a="1"/>
  <c r="D23" i="34" s="1"/>
  <c r="E23" i="34" a="1"/>
  <c r="E23" i="34" s="1"/>
  <c r="F23" i="34" a="1"/>
  <c r="F23" i="34" s="1"/>
  <c r="G23" i="34" a="1"/>
  <c r="G23" i="34" s="1"/>
  <c r="H23" i="34" a="1"/>
  <c r="H23" i="34" s="1"/>
  <c r="I23" i="34" a="1"/>
  <c r="I23" i="34" s="1"/>
  <c r="J23" i="34" a="1"/>
  <c r="J23" i="34" s="1"/>
  <c r="K23" i="34" a="1"/>
  <c r="K23" i="34" s="1"/>
  <c r="L23" i="34" a="1"/>
  <c r="L23" i="34" s="1"/>
  <c r="M23" i="34" a="1"/>
  <c r="M23" i="34" s="1"/>
  <c r="N23" i="34" a="1"/>
  <c r="N23" i="34" s="1"/>
  <c r="D24" i="34" a="1"/>
  <c r="D24" i="34" s="1"/>
  <c r="E24" i="34" a="1"/>
  <c r="E24" i="34" s="1"/>
  <c r="F24" i="34" a="1"/>
  <c r="F24" i="34" s="1"/>
  <c r="G24" i="34" a="1"/>
  <c r="G24" i="34" s="1"/>
  <c r="H24" i="34" a="1"/>
  <c r="H24" i="34" s="1"/>
  <c r="I24" i="34" a="1"/>
  <c r="I24" i="34" s="1"/>
  <c r="J24" i="34" a="1"/>
  <c r="J24" i="34" s="1"/>
  <c r="K24" i="34" a="1"/>
  <c r="K24" i="34" s="1"/>
  <c r="L24" i="34" a="1"/>
  <c r="L24" i="34" s="1"/>
  <c r="M24" i="34" a="1"/>
  <c r="M24" i="34" s="1"/>
  <c r="N24" i="34" a="1"/>
  <c r="N24" i="34" s="1"/>
  <c r="D25" i="34" a="1"/>
  <c r="D25" i="34" s="1"/>
  <c r="E25" i="34" a="1"/>
  <c r="E25" i="34" s="1"/>
  <c r="F25" i="34" a="1"/>
  <c r="F25" i="34" s="1"/>
  <c r="G25" i="34" a="1"/>
  <c r="G25" i="34" s="1"/>
  <c r="H25" i="34" a="1"/>
  <c r="H25" i="34" s="1"/>
  <c r="I25" i="34" a="1"/>
  <c r="I25" i="34" s="1"/>
  <c r="J25" i="34" a="1"/>
  <c r="J25" i="34" s="1"/>
  <c r="K25" i="34" a="1"/>
  <c r="K25" i="34" s="1"/>
  <c r="L25" i="34" a="1"/>
  <c r="L25" i="34" s="1"/>
  <c r="M25" i="34" a="1"/>
  <c r="M25" i="34" s="1"/>
  <c r="N25" i="34" a="1"/>
  <c r="N25" i="34" s="1"/>
  <c r="D26" i="34" a="1"/>
  <c r="D26" i="34" s="1"/>
  <c r="E26" i="34" a="1"/>
  <c r="E26" i="34" s="1"/>
  <c r="F26" i="34" a="1"/>
  <c r="F26" i="34" s="1"/>
  <c r="G26" i="34" a="1"/>
  <c r="G26" i="34" s="1"/>
  <c r="H26" i="34" a="1"/>
  <c r="H26" i="34" s="1"/>
  <c r="I26" i="34" a="1"/>
  <c r="I26" i="34" s="1"/>
  <c r="J26" i="34" a="1"/>
  <c r="J26" i="34" s="1"/>
  <c r="K26" i="34" a="1"/>
  <c r="K26" i="34" s="1"/>
  <c r="L26" i="34" a="1"/>
  <c r="L26" i="34" s="1"/>
  <c r="M26" i="34" a="1"/>
  <c r="M26" i="34" s="1"/>
  <c r="N26" i="34" a="1"/>
  <c r="N26" i="34" s="1"/>
  <c r="C20" i="34" a="1"/>
  <c r="C20" i="34" s="1"/>
  <c r="C21" i="34" a="1"/>
  <c r="C21" i="34" s="1"/>
  <c r="C22" i="34" a="1"/>
  <c r="C22" i="34" s="1"/>
  <c r="C23" i="34" a="1"/>
  <c r="C23" i="34" s="1"/>
  <c r="C24" i="34" a="1"/>
  <c r="C24" i="34" s="1"/>
  <c r="C25" i="34" a="1"/>
  <c r="C25" i="34" s="1"/>
  <c r="C26" i="34" a="1"/>
  <c r="C26" i="34" s="1"/>
  <c r="C19" i="34" a="1"/>
  <c r="C19" i="34" s="1"/>
  <c r="D6" i="34" a="1"/>
  <c r="D6" i="34" s="1"/>
  <c r="E6" i="34" a="1"/>
  <c r="E6" i="34" s="1"/>
  <c r="F6" i="34" a="1"/>
  <c r="F6" i="34" s="1"/>
  <c r="G6" i="34" a="1"/>
  <c r="G6" i="34" s="1"/>
  <c r="H6" i="34" a="1"/>
  <c r="H6" i="34" s="1"/>
  <c r="I6" i="34" a="1"/>
  <c r="I6" i="34" s="1"/>
  <c r="J6" i="34" a="1"/>
  <c r="J6" i="34" s="1"/>
  <c r="K6" i="34" a="1"/>
  <c r="K6" i="34" s="1"/>
  <c r="L6" i="34" a="1"/>
  <c r="L6" i="34" s="1"/>
  <c r="M6" i="34" a="1"/>
  <c r="M6" i="34" s="1"/>
  <c r="N6" i="34" a="1"/>
  <c r="N6" i="34" s="1"/>
  <c r="D7" i="34" a="1"/>
  <c r="D7" i="34" s="1"/>
  <c r="E7" i="34" a="1"/>
  <c r="E7" i="34" s="1"/>
  <c r="F7" i="34" a="1"/>
  <c r="F7" i="34" s="1"/>
  <c r="G7" i="34" a="1"/>
  <c r="G7" i="34" s="1"/>
  <c r="H7" i="34" a="1"/>
  <c r="H7" i="34" s="1"/>
  <c r="I7" i="34" a="1"/>
  <c r="I7" i="34" s="1"/>
  <c r="J7" i="34" a="1"/>
  <c r="J7" i="34" s="1"/>
  <c r="K7" i="34" a="1"/>
  <c r="K7" i="34" s="1"/>
  <c r="L7" i="34" a="1"/>
  <c r="L7" i="34" s="1"/>
  <c r="M7" i="34" a="1"/>
  <c r="M7" i="34" s="1"/>
  <c r="N7" i="34" a="1"/>
  <c r="N7" i="34" s="1"/>
  <c r="D8" i="34" a="1"/>
  <c r="D8" i="34" s="1"/>
  <c r="E8" i="34" a="1"/>
  <c r="E8" i="34" s="1"/>
  <c r="F8" i="34" a="1"/>
  <c r="F8" i="34" s="1"/>
  <c r="G8" i="34" a="1"/>
  <c r="G8" i="34" s="1"/>
  <c r="H8" i="34" a="1"/>
  <c r="H8" i="34" s="1"/>
  <c r="I8" i="34" a="1"/>
  <c r="I8" i="34" s="1"/>
  <c r="J8" i="34" a="1"/>
  <c r="J8" i="34" s="1"/>
  <c r="K8" i="34" a="1"/>
  <c r="K8" i="34" s="1"/>
  <c r="L8" i="34" a="1"/>
  <c r="L8" i="34" s="1"/>
  <c r="M8" i="34" a="1"/>
  <c r="M8" i="34" s="1"/>
  <c r="N8" i="34" a="1"/>
  <c r="N8" i="34" s="1"/>
  <c r="D9" i="34" a="1"/>
  <c r="D9" i="34" s="1"/>
  <c r="E9" i="34" a="1"/>
  <c r="E9" i="34" s="1"/>
  <c r="F9" i="34" a="1"/>
  <c r="F9" i="34" s="1"/>
  <c r="G9" i="34" a="1"/>
  <c r="G9" i="34" s="1"/>
  <c r="H9" i="34" a="1"/>
  <c r="H9" i="34" s="1"/>
  <c r="I9" i="34" a="1"/>
  <c r="I9" i="34" s="1"/>
  <c r="J9" i="34" a="1"/>
  <c r="J9" i="34" s="1"/>
  <c r="K9" i="34" a="1"/>
  <c r="K9" i="34" s="1"/>
  <c r="L9" i="34" a="1"/>
  <c r="L9" i="34" s="1"/>
  <c r="M9" i="34" a="1"/>
  <c r="M9" i="34" s="1"/>
  <c r="N9" i="34" a="1"/>
  <c r="N9" i="34" s="1"/>
  <c r="D10" i="34" a="1"/>
  <c r="D10" i="34" s="1"/>
  <c r="E10" i="34" a="1"/>
  <c r="E10" i="34" s="1"/>
  <c r="F10" i="34" a="1"/>
  <c r="F10" i="34" s="1"/>
  <c r="G10" i="34" a="1"/>
  <c r="G10" i="34" s="1"/>
  <c r="H10" i="34" a="1"/>
  <c r="H10" i="34" s="1"/>
  <c r="I10" i="34" a="1"/>
  <c r="I10" i="34" s="1"/>
  <c r="J10" i="34" a="1"/>
  <c r="J10" i="34" s="1"/>
  <c r="K10" i="34" a="1"/>
  <c r="K10" i="34" s="1"/>
  <c r="L10" i="34" a="1"/>
  <c r="L10" i="34" s="1"/>
  <c r="M10" i="34" a="1"/>
  <c r="M10" i="34" s="1"/>
  <c r="N10" i="34" a="1"/>
  <c r="N10" i="34" s="1"/>
  <c r="D11" i="34" a="1"/>
  <c r="D11" i="34" s="1"/>
  <c r="E11" i="34" a="1"/>
  <c r="E11" i="34" s="1"/>
  <c r="F11" i="34" a="1"/>
  <c r="F11" i="34" s="1"/>
  <c r="G11" i="34" a="1"/>
  <c r="G11" i="34" s="1"/>
  <c r="H11" i="34" a="1"/>
  <c r="H11" i="34" s="1"/>
  <c r="I11" i="34" a="1"/>
  <c r="I11" i="34" s="1"/>
  <c r="J11" i="34" a="1"/>
  <c r="J11" i="34" s="1"/>
  <c r="K11" i="34" a="1"/>
  <c r="K11" i="34" s="1"/>
  <c r="L11" i="34" a="1"/>
  <c r="L11" i="34" s="1"/>
  <c r="M11" i="34" a="1"/>
  <c r="M11" i="34" s="1"/>
  <c r="N11" i="34" a="1"/>
  <c r="N11" i="34" s="1"/>
  <c r="D12" i="34" a="1"/>
  <c r="D12" i="34" s="1"/>
  <c r="E12" i="34" a="1"/>
  <c r="E12" i="34" s="1"/>
  <c r="F12" i="34" a="1"/>
  <c r="F12" i="34" s="1"/>
  <c r="G12" i="34" a="1"/>
  <c r="G12" i="34" s="1"/>
  <c r="H12" i="34" a="1"/>
  <c r="H12" i="34" s="1"/>
  <c r="I12" i="34" a="1"/>
  <c r="I12" i="34" s="1"/>
  <c r="J12" i="34" a="1"/>
  <c r="J12" i="34" s="1"/>
  <c r="K12" i="34" a="1"/>
  <c r="K12" i="34" s="1"/>
  <c r="L12" i="34" a="1"/>
  <c r="L12" i="34" s="1"/>
  <c r="M12" i="34" a="1"/>
  <c r="M12" i="34" s="1"/>
  <c r="N12" i="34" a="1"/>
  <c r="N12" i="34" s="1"/>
  <c r="D13" i="34" a="1"/>
  <c r="D13" i="34" s="1"/>
  <c r="E13" i="34" a="1"/>
  <c r="E13" i="34" s="1"/>
  <c r="F13" i="34" a="1"/>
  <c r="F13" i="34" s="1"/>
  <c r="G13" i="34" a="1"/>
  <c r="G13" i="34" s="1"/>
  <c r="H13" i="34" a="1"/>
  <c r="H13" i="34" s="1"/>
  <c r="I13" i="34" a="1"/>
  <c r="I13" i="34" s="1"/>
  <c r="J13" i="34" a="1"/>
  <c r="J13" i="34" s="1"/>
  <c r="K13" i="34" a="1"/>
  <c r="K13" i="34" s="1"/>
  <c r="L13" i="34" a="1"/>
  <c r="L13" i="34" s="1"/>
  <c r="M13" i="34" a="1"/>
  <c r="M13" i="34" s="1"/>
  <c r="N13" i="34" a="1"/>
  <c r="N13" i="34" s="1"/>
  <c r="C7" i="34" a="1"/>
  <c r="C7" i="34" s="1"/>
  <c r="C8" i="34" a="1"/>
  <c r="C8" i="34" s="1"/>
  <c r="C9" i="34" a="1"/>
  <c r="C9" i="34" s="1"/>
  <c r="C10" i="34" a="1"/>
  <c r="C10" i="34" s="1"/>
  <c r="C11" i="34" a="1"/>
  <c r="C11" i="34" s="1"/>
  <c r="C12" i="34" a="1"/>
  <c r="C12" i="34" s="1"/>
  <c r="C13" i="34" a="1"/>
  <c r="C13" i="34" s="1"/>
  <c r="C6" i="34" a="1"/>
  <c r="C6" i="34" s="1"/>
  <c r="AA11" i="34" l="1" a="1"/>
  <c r="AA11" i="34" s="1"/>
  <c r="Q6" i="34" l="1" a="1"/>
  <c r="Q6" i="34" s="1"/>
  <c r="O23" i="38" s="1"/>
  <c r="C32" i="38"/>
  <c r="B32" i="38"/>
  <c r="C31" i="38"/>
  <c r="B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M13" i="38"/>
  <c r="C13" i="38"/>
  <c r="C12" i="38"/>
  <c r="C11" i="38"/>
  <c r="C10" i="38"/>
  <c r="C9" i="38"/>
  <c r="C8" i="38"/>
  <c r="M2" i="38"/>
  <c r="X3" i="30"/>
  <c r="X4" i="30"/>
  <c r="X5" i="30"/>
  <c r="X6" i="30"/>
  <c r="X7" i="30"/>
  <c r="X8" i="30"/>
  <c r="X9" i="30"/>
  <c r="X10" i="30"/>
  <c r="X11" i="30"/>
  <c r="X12" i="30"/>
  <c r="X13" i="30"/>
  <c r="X14" i="30"/>
  <c r="X15" i="30"/>
  <c r="X16" i="30"/>
  <c r="X17" i="30"/>
  <c r="X18" i="30"/>
  <c r="X19" i="30"/>
  <c r="X20" i="30"/>
  <c r="X21" i="30"/>
  <c r="X22" i="30"/>
  <c r="X23" i="30"/>
  <c r="X24" i="30"/>
  <c r="X25" i="30"/>
  <c r="X2" i="30"/>
  <c r="W3" i="30"/>
  <c r="W4" i="30"/>
  <c r="W5" i="30"/>
  <c r="W6" i="30"/>
  <c r="W7" i="30"/>
  <c r="W8" i="30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" i="30"/>
  <c r="Q7" i="34" l="1" a="1"/>
  <c r="Q7" i="34" s="1"/>
  <c r="C12" i="28"/>
  <c r="M3" i="38" l="1"/>
  <c r="N7" i="38" l="1"/>
  <c r="M7" i="38" s="1"/>
  <c r="AA38" i="34" a="1"/>
  <c r="AA38" i="34" s="1"/>
  <c r="AA36" i="34" a="1"/>
  <c r="AA36" i="34" s="1"/>
  <c r="AA29" i="34" a="1"/>
  <c r="AA29" i="34" s="1"/>
  <c r="AA21" i="34" a="1"/>
  <c r="AA21" i="34" s="1"/>
  <c r="AA20" i="34" a="1"/>
  <c r="AA20" i="34" s="1"/>
  <c r="AA27" i="34" a="1"/>
  <c r="AA27" i="34" s="1"/>
  <c r="AA18" i="34" a="1"/>
  <c r="AA18" i="34" s="1"/>
  <c r="Q18" i="34" a="1"/>
  <c r="Q18" i="34" s="1"/>
  <c r="AA40" i="34" a="1"/>
  <c r="AA40" i="34" s="1"/>
  <c r="AA34" i="34" a="1"/>
  <c r="AA34" i="34" s="1"/>
  <c r="AA39" i="34" a="1"/>
  <c r="AA39" i="34" s="1"/>
  <c r="AA41" i="34" a="1"/>
  <c r="AA41" i="34" s="1"/>
  <c r="AA37" i="34" a="1"/>
  <c r="AA37" i="34" s="1"/>
  <c r="AA26" i="34" a="1"/>
  <c r="AA26" i="34" s="1"/>
  <c r="AA33" i="34" a="1"/>
  <c r="AA33" i="34" s="1"/>
  <c r="AA32" i="34" a="1"/>
  <c r="AA32" i="34" s="1"/>
  <c r="AA31" i="34" a="1"/>
  <c r="AA31" i="34" s="1"/>
  <c r="AA19" i="34" a="1"/>
  <c r="AA19" i="34" s="1"/>
  <c r="AA30" i="34" a="1"/>
  <c r="AA30" i="34" s="1"/>
  <c r="AA25" i="34" a="1"/>
  <c r="AA25" i="34" s="1"/>
  <c r="AA24" i="34" a="1"/>
  <c r="AA24" i="34" s="1"/>
  <c r="AA23" i="34" a="1"/>
  <c r="AA23" i="34" s="1"/>
  <c r="AA35" i="34" a="1"/>
  <c r="AA35" i="34" s="1"/>
  <c r="AA22" i="34" a="1"/>
  <c r="AA22" i="34" s="1"/>
  <c r="AA28" i="34" a="1"/>
  <c r="AA28" i="34" s="1"/>
  <c r="N8" i="38" l="1"/>
  <c r="K24" i="38" s="1"/>
  <c r="K23" i="38"/>
  <c r="M8" i="38"/>
  <c r="N9" i="38"/>
  <c r="K25" i="38" s="1"/>
  <c r="AA13" i="34" a="1"/>
  <c r="AA13" i="34" s="1"/>
  <c r="AA12" i="34" a="1"/>
  <c r="AA12" i="34" s="1"/>
  <c r="AE12" i="34" s="1"/>
  <c r="AA10" i="34" a="1"/>
  <c r="AA10" i="34" s="1"/>
  <c r="AA9" i="34" a="1"/>
  <c r="AA9" i="34" s="1"/>
  <c r="AA8" i="34" a="1"/>
  <c r="AA8" i="34" s="1"/>
  <c r="AA7" i="34" a="1"/>
  <c r="AA7" i="34" s="1"/>
  <c r="AA6" i="34" a="1"/>
  <c r="AA6" i="34" s="1"/>
  <c r="Q12" i="34" a="1"/>
  <c r="Q12" i="34" s="1"/>
  <c r="Q11" i="34" a="1"/>
  <c r="Q10" i="34" a="1"/>
  <c r="Q9" i="34" a="1"/>
  <c r="Q8" i="34" a="1"/>
  <c r="Q10" i="34" l="1"/>
  <c r="Q11" i="34"/>
  <c r="Q8" i="34"/>
  <c r="Q9" i="34"/>
  <c r="N10" i="38"/>
  <c r="K26" i="38" s="1"/>
  <c r="M9" i="38"/>
  <c r="AD12" i="34"/>
  <c r="X13" i="25"/>
  <c r="Z12" i="25"/>
  <c r="AA12" i="25" s="1"/>
  <c r="AB12" i="25" s="1"/>
  <c r="Z11" i="25"/>
  <c r="AA11" i="25" s="1"/>
  <c r="Z10" i="25"/>
  <c r="Z13" i="25" s="1"/>
  <c r="Z9" i="25"/>
  <c r="AA9" i="25" s="1"/>
  <c r="AA10" i="25" l="1"/>
  <c r="AB10" i="25" s="1"/>
  <c r="AF12" i="34"/>
  <c r="J13" i="39" s="1"/>
  <c r="I13" i="39"/>
  <c r="J60" i="39" s="1"/>
  <c r="K60" i="39" s="1"/>
  <c r="O26" i="38"/>
  <c r="O25" i="38"/>
  <c r="O28" i="38"/>
  <c r="O24" i="38"/>
  <c r="O27" i="38"/>
  <c r="N11" i="38"/>
  <c r="K27" i="38" s="1"/>
  <c r="M10" i="38"/>
  <c r="AB9" i="25"/>
  <c r="N12" i="38" l="1"/>
  <c r="K28" i="38" s="1"/>
  <c r="M11" i="38"/>
  <c r="AB11" i="25"/>
  <c r="AB13" i="25" s="1"/>
  <c r="AA13" i="25"/>
  <c r="AA6" i="29"/>
  <c r="M12" i="38" l="1"/>
  <c r="A1" i="9"/>
  <c r="A1" i="25" l="1"/>
  <c r="A1" i="28"/>
  <c r="A1" i="17"/>
  <c r="A1" i="11"/>
  <c r="C18" i="29" l="1" a="1"/>
  <c r="C18" i="29" s="1"/>
  <c r="A1" i="22" l="1"/>
  <c r="Q26" i="34" l="1" a="1"/>
  <c r="Q26" i="34" s="1"/>
  <c r="Q27" i="34" a="1"/>
  <c r="Q27" i="34" s="1"/>
  <c r="Q28" i="34" a="1"/>
  <c r="Q28" i="34" s="1"/>
  <c r="Q29" i="34" a="1"/>
  <c r="Q29" i="34" s="1"/>
  <c r="Q30" i="34" a="1"/>
  <c r="Q30" i="34" s="1"/>
  <c r="Q31" i="34" a="1"/>
  <c r="Q31" i="34" s="1"/>
  <c r="Q33" i="34" a="1"/>
  <c r="Q33" i="34" s="1"/>
  <c r="Q13" i="34" a="1"/>
  <c r="Q34" i="34" a="1"/>
  <c r="Q34" i="34" s="1"/>
  <c r="Q35" i="34" a="1"/>
  <c r="Q35" i="34" s="1"/>
  <c r="Q36" i="34" a="1"/>
  <c r="Q36" i="34" s="1"/>
  <c r="Q37" i="34" a="1"/>
  <c r="Q37" i="34" s="1"/>
  <c r="Q38" i="34" a="1"/>
  <c r="Q38" i="34" s="1"/>
  <c r="Q39" i="34" a="1"/>
  <c r="Q39" i="34" s="1"/>
  <c r="Q41" i="34" a="1"/>
  <c r="Q41" i="34" s="1"/>
  <c r="Q32" i="34" a="1"/>
  <c r="Q32" i="34" s="1"/>
  <c r="Q24" i="34" a="1"/>
  <c r="Q24" i="34" s="1"/>
  <c r="Q40" i="34" a="1"/>
  <c r="Q40" i="34" s="1"/>
  <c r="Q19" i="34" a="1"/>
  <c r="Q19" i="34" s="1"/>
  <c r="Q20" i="34" a="1"/>
  <c r="Q20" i="34" s="1"/>
  <c r="Q21" i="34" a="1"/>
  <c r="Q21" i="34" s="1"/>
  <c r="Q22" i="34" a="1"/>
  <c r="Q22" i="34" s="1"/>
  <c r="Q23" i="34" a="1"/>
  <c r="Q23" i="34" s="1"/>
  <c r="Q25" i="34" a="1"/>
  <c r="Q25" i="34" s="1"/>
  <c r="Q13" i="34" l="1"/>
  <c r="C30" i="29" l="1" a="1"/>
  <c r="C30" i="29" s="1"/>
  <c r="W6" i="29" s="1"/>
  <c r="Y17" i="29" l="1"/>
  <c r="F18" i="29" a="1"/>
  <c r="F18" i="29" s="1"/>
  <c r="Q18" i="29" s="1" a="1"/>
  <c r="I21" i="29" a="1"/>
  <c r="I21" i="29" s="1"/>
  <c r="Q29" i="29" s="1" a="1"/>
  <c r="L37" i="29" a="1"/>
  <c r="L37" i="29" s="1"/>
  <c r="W41" i="29" s="1"/>
  <c r="I37" i="29" a="1"/>
  <c r="I37" i="29" s="1"/>
  <c r="W33" i="29" s="1"/>
  <c r="F37" i="29" a="1"/>
  <c r="F37" i="29" s="1"/>
  <c r="W25" i="29" s="1"/>
  <c r="C37" i="29" a="1"/>
  <c r="C37" i="29" s="1"/>
  <c r="W13" i="29" s="1"/>
  <c r="L36" i="29" a="1"/>
  <c r="L36" i="29" s="1"/>
  <c r="W40" i="29" s="1"/>
  <c r="I36" i="29" a="1"/>
  <c r="I36" i="29" s="1"/>
  <c r="W32" i="29" s="1"/>
  <c r="F36" i="29" a="1"/>
  <c r="F36" i="29" s="1"/>
  <c r="W24" i="29" s="1"/>
  <c r="C36" i="29" a="1"/>
  <c r="C36" i="29" s="1"/>
  <c r="W12" i="29" s="1"/>
  <c r="L35" i="29" a="1"/>
  <c r="L35" i="29" s="1"/>
  <c r="W39" i="29" s="1"/>
  <c r="I35" i="29" a="1"/>
  <c r="I35" i="29" s="1"/>
  <c r="W31" i="29" s="1"/>
  <c r="F35" i="29" a="1"/>
  <c r="F35" i="29" s="1"/>
  <c r="W23" i="29" s="1"/>
  <c r="C35" i="29" a="1"/>
  <c r="C35" i="29" s="1"/>
  <c r="W11" i="29" s="1"/>
  <c r="L34" i="29" a="1"/>
  <c r="L34" i="29" s="1"/>
  <c r="W38" i="29" s="1"/>
  <c r="I34" i="29" a="1"/>
  <c r="I34" i="29" s="1"/>
  <c r="W30" i="29" s="1"/>
  <c r="F34" i="29" a="1"/>
  <c r="F34" i="29" s="1"/>
  <c r="W22" i="29" s="1"/>
  <c r="C34" i="29" a="1"/>
  <c r="C34" i="29" s="1"/>
  <c r="W10" i="29" s="1"/>
  <c r="L33" i="29" a="1"/>
  <c r="L33" i="29" s="1"/>
  <c r="W37" i="29" s="1"/>
  <c r="I33" i="29" a="1"/>
  <c r="I33" i="29" s="1"/>
  <c r="W29" i="29" s="1"/>
  <c r="F33" i="29" a="1"/>
  <c r="F33" i="29" s="1"/>
  <c r="W21" i="29" s="1"/>
  <c r="C33" i="29" a="1"/>
  <c r="C33" i="29" s="1"/>
  <c r="W9" i="29" s="1"/>
  <c r="L32" i="29" a="1"/>
  <c r="L32" i="29" s="1"/>
  <c r="W36" i="29" s="1"/>
  <c r="I32" i="29" a="1"/>
  <c r="I32" i="29" s="1"/>
  <c r="W28" i="29" s="1"/>
  <c r="F32" i="29" a="1"/>
  <c r="F32" i="29" s="1"/>
  <c r="W20" i="29" s="1"/>
  <c r="C32" i="29" a="1"/>
  <c r="C32" i="29" s="1"/>
  <c r="W8" i="29" s="1"/>
  <c r="L31" i="29" a="1"/>
  <c r="L31" i="29" s="1"/>
  <c r="W35" i="29" s="1"/>
  <c r="I31" i="29" a="1"/>
  <c r="I31" i="29" s="1"/>
  <c r="W27" i="29" s="1"/>
  <c r="F31" i="29" a="1"/>
  <c r="F31" i="29" s="1"/>
  <c r="W19" i="29" s="1"/>
  <c r="C31" i="29" a="1"/>
  <c r="C31" i="29" s="1"/>
  <c r="W7" i="29" s="1"/>
  <c r="L30" i="29" a="1"/>
  <c r="L30" i="29" s="1"/>
  <c r="W34" i="29" s="1"/>
  <c r="I30" i="29" a="1"/>
  <c r="I30" i="29" s="1"/>
  <c r="W26" i="29" s="1"/>
  <c r="F30" i="29" a="1"/>
  <c r="F30" i="29" s="1"/>
  <c r="W18" i="29" s="1"/>
  <c r="Q7" i="9"/>
  <c r="Q8" i="9" s="1"/>
  <c r="Q9" i="9" s="1"/>
  <c r="Q10" i="9" s="1"/>
  <c r="Q11" i="9" s="1"/>
  <c r="Q12" i="9" s="1"/>
  <c r="N28" i="9" s="1"/>
  <c r="Q6" i="29" a="1"/>
  <c r="L25" i="29" a="1"/>
  <c r="L25" i="29" s="1"/>
  <c r="Q41" i="29" s="1" a="1"/>
  <c r="L19" i="29" a="1"/>
  <c r="L19" i="29" s="1"/>
  <c r="Q35" i="29" s="1" a="1"/>
  <c r="L20" i="29" a="1"/>
  <c r="L20" i="29" s="1"/>
  <c r="Q36" i="29" s="1" a="1"/>
  <c r="L21" i="29" a="1"/>
  <c r="L21" i="29" s="1"/>
  <c r="Q37" i="29" s="1" a="1"/>
  <c r="L22" i="29" a="1"/>
  <c r="L22" i="29" s="1"/>
  <c r="Q38" i="29" s="1" a="1"/>
  <c r="L23" i="29" a="1"/>
  <c r="L23" i="29" s="1"/>
  <c r="Q39" i="29" s="1" a="1"/>
  <c r="L24" i="29" a="1"/>
  <c r="L24" i="29" s="1"/>
  <c r="Q40" i="29" s="1" a="1"/>
  <c r="I19" i="29" a="1"/>
  <c r="I19" i="29" s="1"/>
  <c r="Q27" i="29" s="1" a="1"/>
  <c r="I20" i="29" a="1"/>
  <c r="I20" i="29" s="1"/>
  <c r="Q28" i="29" s="1" a="1"/>
  <c r="I22" i="29" a="1"/>
  <c r="I22" i="29" s="1"/>
  <c r="Q30" i="29" s="1" a="1"/>
  <c r="I23" i="29" a="1"/>
  <c r="I23" i="29" s="1"/>
  <c r="Q31" i="29" s="1" a="1"/>
  <c r="I24" i="29" a="1"/>
  <c r="I24" i="29" s="1"/>
  <c r="Q32" i="29" s="1" a="1"/>
  <c r="I25" i="29" a="1"/>
  <c r="I25" i="29" s="1"/>
  <c r="Q33" i="29" s="1" a="1"/>
  <c r="F19" i="29" a="1"/>
  <c r="F19" i="29" s="1"/>
  <c r="Q19" i="29" s="1" a="1"/>
  <c r="F20" i="29" a="1"/>
  <c r="F20" i="29" s="1"/>
  <c r="Q20" i="29" s="1" a="1"/>
  <c r="F21" i="29" a="1"/>
  <c r="F21" i="29" s="1"/>
  <c r="Q21" i="29" s="1" a="1"/>
  <c r="F22" i="29" a="1"/>
  <c r="F22" i="29" s="1"/>
  <c r="Q22" i="29" s="1" a="1"/>
  <c r="F23" i="29" a="1"/>
  <c r="F23" i="29" s="1"/>
  <c r="Q23" i="29" s="1" a="1"/>
  <c r="F24" i="29" a="1"/>
  <c r="F24" i="29" s="1"/>
  <c r="Q24" i="29" s="1" a="1"/>
  <c r="F25" i="29" a="1"/>
  <c r="F25" i="29" s="1"/>
  <c r="Q25" i="29" s="1" a="1"/>
  <c r="L18" i="29" a="1"/>
  <c r="L18" i="29" s="1"/>
  <c r="Q34" i="29" s="1" a="1"/>
  <c r="I18" i="29" a="1"/>
  <c r="I18" i="29" s="1"/>
  <c r="Q26" i="29" s="1" a="1"/>
  <c r="C25" i="29" a="1"/>
  <c r="C25" i="29" s="1"/>
  <c r="Q13" i="29" s="1" a="1"/>
  <c r="Q13" i="29" s="1"/>
  <c r="C19" i="29" a="1"/>
  <c r="C19" i="29" s="1"/>
  <c r="Q7" i="29" s="1" a="1"/>
  <c r="C20" i="29" a="1"/>
  <c r="C20" i="29" s="1"/>
  <c r="Q8" i="29" s="1" a="1"/>
  <c r="C21" i="29" a="1"/>
  <c r="C21" i="29" s="1"/>
  <c r="Q9" i="29" s="1" a="1"/>
  <c r="C22" i="29" a="1"/>
  <c r="C22" i="29" s="1"/>
  <c r="Q10" i="29" s="1" a="1"/>
  <c r="C23" i="29" a="1"/>
  <c r="C23" i="29" s="1"/>
  <c r="Q11" i="29" s="1" a="1"/>
  <c r="C24" i="29" a="1"/>
  <c r="C24" i="29" s="1"/>
  <c r="Q12" i="29" s="1" a="1"/>
  <c r="Q12" i="29" s="1"/>
  <c r="T12" i="29" l="1"/>
  <c r="D31" i="9" s="1"/>
  <c r="U12" i="29"/>
  <c r="T13" i="29"/>
  <c r="G32" i="9" s="1"/>
  <c r="U13" i="29"/>
  <c r="P7" i="9"/>
  <c r="P12" i="9"/>
  <c r="N26" i="9"/>
  <c r="N27" i="9"/>
  <c r="N25" i="9"/>
  <c r="N24" i="9"/>
  <c r="N23" i="9"/>
  <c r="G31" i="9"/>
  <c r="Q34" i="29"/>
  <c r="Q29" i="29"/>
  <c r="Q25" i="29"/>
  <c r="Q31" i="29"/>
  <c r="Q28" i="29"/>
  <c r="Q27" i="29"/>
  <c r="Q24" i="29"/>
  <c r="Q40" i="29"/>
  <c r="Q23" i="29"/>
  <c r="Q39" i="29"/>
  <c r="Q22" i="29"/>
  <c r="Q38" i="29"/>
  <c r="Q21" i="29"/>
  <c r="Q37" i="29"/>
  <c r="Q18" i="29"/>
  <c r="U18" i="29" s="1"/>
  <c r="Q20" i="29"/>
  <c r="Q36" i="29"/>
  <c r="Q19" i="29"/>
  <c r="Q35" i="29"/>
  <c r="Q33" i="29"/>
  <c r="Q41" i="29"/>
  <c r="Q26" i="29"/>
  <c r="Q30" i="29"/>
  <c r="Q11" i="29"/>
  <c r="Q10" i="29"/>
  <c r="Q9" i="29"/>
  <c r="Q8" i="29"/>
  <c r="Q7" i="29"/>
  <c r="Q6" i="29"/>
  <c r="U6" i="29" s="1"/>
  <c r="T27" i="9"/>
  <c r="S27" i="9"/>
  <c r="Q32" i="29"/>
  <c r="T26" i="9"/>
  <c r="S26" i="9"/>
  <c r="T25" i="9"/>
  <c r="S25" i="9"/>
  <c r="T24" i="9"/>
  <c r="S24" i="9"/>
  <c r="T23" i="9"/>
  <c r="S23" i="9"/>
  <c r="T28" i="9"/>
  <c r="S28" i="9"/>
  <c r="P13" i="9"/>
  <c r="C32" i="9"/>
  <c r="B32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7" i="9"/>
  <c r="J7" i="38" l="1" a="1"/>
  <c r="F7" i="9" a="1"/>
  <c r="F7" i="9" s="1"/>
  <c r="I7" i="9" a="1"/>
  <c r="I7" i="9" s="1"/>
  <c r="F32" i="9"/>
  <c r="I32" i="9"/>
  <c r="F31" i="9"/>
  <c r="I31" i="9"/>
  <c r="U19" i="29"/>
  <c r="I8" i="9" s="1" a="1"/>
  <c r="I8" i="9" s="1"/>
  <c r="U21" i="29"/>
  <c r="I10" i="9" s="1" a="1"/>
  <c r="I10" i="9" s="1"/>
  <c r="U36" i="29"/>
  <c r="I25" i="9" s="1" a="1"/>
  <c r="I25" i="9" s="1"/>
  <c r="L13" i="9"/>
  <c r="R26" i="9"/>
  <c r="U9" i="29"/>
  <c r="U26" i="9" s="1"/>
  <c r="U41" i="29"/>
  <c r="I30" i="9" s="1" a="1"/>
  <c r="I30" i="9" s="1"/>
  <c r="U38" i="29"/>
  <c r="I27" i="9" s="1" a="1"/>
  <c r="I27" i="9" s="1"/>
  <c r="U40" i="29"/>
  <c r="I29" i="9" s="1" a="1"/>
  <c r="I29" i="9" s="1"/>
  <c r="U31" i="29"/>
  <c r="I20" i="9" s="1" a="1"/>
  <c r="I20" i="9" s="1"/>
  <c r="T11" i="29"/>
  <c r="L12" i="9" s="1"/>
  <c r="L28" i="9" s="1"/>
  <c r="U11" i="29"/>
  <c r="U28" i="9" s="1"/>
  <c r="L14" i="9"/>
  <c r="U33" i="29"/>
  <c r="I22" i="9" s="1" a="1"/>
  <c r="I22" i="9" s="1"/>
  <c r="U20" i="29"/>
  <c r="I9" i="9" s="1" a="1"/>
  <c r="I9" i="9" s="1"/>
  <c r="R27" i="9"/>
  <c r="U10" i="29"/>
  <c r="U27" i="9" s="1"/>
  <c r="U30" i="29"/>
  <c r="I19" i="9" s="1" a="1"/>
  <c r="I19" i="9" s="1"/>
  <c r="U7" i="29"/>
  <c r="U24" i="9" s="1"/>
  <c r="U23" i="29"/>
  <c r="I12" i="9" s="1" a="1"/>
  <c r="I12" i="9" s="1"/>
  <c r="U22" i="29"/>
  <c r="I11" i="9" s="1" a="1"/>
  <c r="I11" i="9" s="1"/>
  <c r="U24" i="29"/>
  <c r="I13" i="9" s="1" a="1"/>
  <c r="I13" i="9" s="1"/>
  <c r="U25" i="29"/>
  <c r="I14" i="9" s="1" a="1"/>
  <c r="I14" i="9" s="1"/>
  <c r="U32" i="29"/>
  <c r="I21" i="9" s="1" a="1"/>
  <c r="I21" i="9" s="1"/>
  <c r="U34" i="29"/>
  <c r="I23" i="9" s="1" a="1"/>
  <c r="I23" i="9" s="1"/>
  <c r="U35" i="29"/>
  <c r="I24" i="9" s="1" a="1"/>
  <c r="I24" i="9" s="1"/>
  <c r="U26" i="29"/>
  <c r="I15" i="9" s="1" a="1"/>
  <c r="I15" i="9" s="1"/>
  <c r="U28" i="29"/>
  <c r="I17" i="9" s="1" a="1"/>
  <c r="I17" i="9" s="1"/>
  <c r="D32" i="9"/>
  <c r="U23" i="9"/>
  <c r="U37" i="29"/>
  <c r="I26" i="9" s="1" a="1"/>
  <c r="I26" i="9" s="1"/>
  <c r="U39" i="29"/>
  <c r="I28" i="9" s="1" a="1"/>
  <c r="I28" i="9" s="1"/>
  <c r="U27" i="29"/>
  <c r="I16" i="9" s="1" a="1"/>
  <c r="I16" i="9" s="1"/>
  <c r="U29" i="29"/>
  <c r="I18" i="9" s="1" a="1"/>
  <c r="I18" i="9" s="1"/>
  <c r="U8" i="29"/>
  <c r="U25" i="9" s="1"/>
  <c r="T7" i="29"/>
  <c r="L8" i="9" s="1"/>
  <c r="L24" i="9" s="1"/>
  <c r="T29" i="29"/>
  <c r="T23" i="29"/>
  <c r="D12" i="9" s="1" a="1"/>
  <c r="D12" i="9" s="1"/>
  <c r="G18" i="9" a="1"/>
  <c r="G18" i="9" s="1"/>
  <c r="T27" i="29"/>
  <c r="D16" i="9" s="1" a="1"/>
  <c r="D16" i="9" s="1"/>
  <c r="T39" i="29"/>
  <c r="D28" i="9" s="1" a="1"/>
  <c r="D28" i="9" s="1"/>
  <c r="T28" i="29"/>
  <c r="D17" i="9" s="1" a="1"/>
  <c r="D17" i="9" s="1"/>
  <c r="T34" i="29"/>
  <c r="D23" i="9" s="1" a="1"/>
  <c r="D23" i="9" s="1"/>
  <c r="T36" i="29"/>
  <c r="G25" i="9" s="1" a="1"/>
  <c r="G25" i="9" s="1"/>
  <c r="T21" i="29"/>
  <c r="D10" i="9" s="1" a="1"/>
  <c r="D10" i="9" s="1"/>
  <c r="T37" i="29"/>
  <c r="R28" i="9"/>
  <c r="T33" i="29"/>
  <c r="T20" i="29"/>
  <c r="T31" i="29"/>
  <c r="G20" i="9" s="1" a="1"/>
  <c r="G20" i="9" s="1"/>
  <c r="T40" i="29"/>
  <c r="D29" i="9" s="1" a="1"/>
  <c r="D29" i="9" s="1"/>
  <c r="T38" i="29"/>
  <c r="G27" i="9" s="1" a="1"/>
  <c r="G27" i="9" s="1"/>
  <c r="T22" i="29"/>
  <c r="T18" i="29"/>
  <c r="T24" i="29"/>
  <c r="G13" i="9" s="1" a="1"/>
  <c r="G13" i="9" s="1"/>
  <c r="T19" i="29"/>
  <c r="G8" i="9" s="1" a="1"/>
  <c r="G8" i="9" s="1"/>
  <c r="T30" i="29"/>
  <c r="T32" i="29"/>
  <c r="T25" i="29"/>
  <c r="T35" i="29"/>
  <c r="T26" i="29"/>
  <c r="T41" i="29"/>
  <c r="R24" i="9"/>
  <c r="R23" i="9"/>
  <c r="T6" i="29"/>
  <c r="T10" i="29"/>
  <c r="R25" i="9"/>
  <c r="T9" i="29"/>
  <c r="T8" i="29"/>
  <c r="G12" i="9" l="1" a="1"/>
  <c r="G12" i="9" s="1"/>
  <c r="F9" i="9" a="1"/>
  <c r="F9" i="9" s="1"/>
  <c r="F18" i="9" a="1"/>
  <c r="F18" i="9" s="1"/>
  <c r="F15" i="9" a="1"/>
  <c r="F15" i="9" s="1"/>
  <c r="F11" i="9" a="1"/>
  <c r="F11" i="9" s="1"/>
  <c r="F30" i="9" a="1"/>
  <c r="F30" i="9" s="1"/>
  <c r="F22" i="9" a="1"/>
  <c r="F22" i="9" s="1"/>
  <c r="F17" i="9" a="1"/>
  <c r="F17" i="9" s="1"/>
  <c r="F16" i="9" a="1"/>
  <c r="F16" i="9" s="1"/>
  <c r="F24" i="9" a="1"/>
  <c r="F24" i="9" s="1"/>
  <c r="F25" i="9" a="1"/>
  <c r="F25" i="9" s="1"/>
  <c r="F26" i="9" a="1"/>
  <c r="F26" i="9" s="1"/>
  <c r="F21" i="9" a="1"/>
  <c r="F21" i="9" s="1"/>
  <c r="F20" i="9" a="1"/>
  <c r="F20" i="9" s="1"/>
  <c r="F13" i="9" a="1"/>
  <c r="F13" i="9" s="1"/>
  <c r="F28" i="9" a="1"/>
  <c r="F28" i="9" s="1"/>
  <c r="F23" i="9" a="1"/>
  <c r="F23" i="9" s="1"/>
  <c r="F12" i="9" a="1"/>
  <c r="F12" i="9" s="1"/>
  <c r="F19" i="9" a="1"/>
  <c r="F19" i="9" s="1"/>
  <c r="F10" i="9" a="1"/>
  <c r="F10" i="9" s="1"/>
  <c r="F14" i="9" a="1"/>
  <c r="F14" i="9" s="1"/>
  <c r="F29" i="9" a="1"/>
  <c r="F29" i="9" s="1"/>
  <c r="F8" i="9" a="1"/>
  <c r="F8" i="9" s="1"/>
  <c r="F27" i="9" a="1"/>
  <c r="F27" i="9" s="1"/>
  <c r="D18" i="9" a="1"/>
  <c r="D18" i="9" s="1"/>
  <c r="D25" i="9" a="1"/>
  <c r="D25" i="9" s="1"/>
  <c r="G26" i="9" a="1"/>
  <c r="G26" i="9" s="1"/>
  <c r="G10" i="9" a="1"/>
  <c r="G10" i="9" s="1"/>
  <c r="G24" i="9" a="1"/>
  <c r="G24" i="9" s="1"/>
  <c r="G7" i="9" a="1"/>
  <c r="G7" i="9" s="1"/>
  <c r="G30" i="9" a="1"/>
  <c r="G30" i="9" s="1"/>
  <c r="G15" i="9" a="1"/>
  <c r="G15" i="9" s="1"/>
  <c r="G14" i="9" a="1"/>
  <c r="G14" i="9" s="1"/>
  <c r="G21" i="9" a="1"/>
  <c r="G21" i="9" s="1"/>
  <c r="G29" i="9" a="1"/>
  <c r="G29" i="9" s="1"/>
  <c r="G11" i="9" a="1"/>
  <c r="G11" i="9" s="1"/>
  <c r="G23" i="9" a="1"/>
  <c r="G23" i="9" s="1"/>
  <c r="G17" i="9" a="1"/>
  <c r="G17" i="9" s="1"/>
  <c r="G28" i="9" a="1"/>
  <c r="G28" i="9" s="1"/>
  <c r="G16" i="9" a="1"/>
  <c r="G16" i="9" s="1"/>
  <c r="G9" i="9" a="1"/>
  <c r="G9" i="9" s="1"/>
  <c r="G19" i="9" a="1"/>
  <c r="G19" i="9" s="1"/>
  <c r="G22" i="9" a="1"/>
  <c r="G22" i="9" s="1"/>
  <c r="D14" i="9" a="1"/>
  <c r="D14" i="9" s="1"/>
  <c r="D26" i="9" a="1"/>
  <c r="D26" i="9" s="1"/>
  <c r="D7" i="9" a="1"/>
  <c r="D7" i="9" s="1"/>
  <c r="D24" i="9" a="1"/>
  <c r="D24" i="9" s="1"/>
  <c r="D22" i="9" a="1"/>
  <c r="D22" i="9" s="1"/>
  <c r="D13" i="9" a="1"/>
  <c r="D13" i="9" s="1"/>
  <c r="D27" i="9" a="1"/>
  <c r="D27" i="9" s="1"/>
  <c r="D20" i="9" a="1"/>
  <c r="D20" i="9" s="1"/>
  <c r="D15" i="9" a="1"/>
  <c r="D15" i="9" s="1"/>
  <c r="D9" i="9" a="1"/>
  <c r="D9" i="9" s="1"/>
  <c r="D8" i="9" a="1"/>
  <c r="D8" i="9" s="1"/>
  <c r="D19" i="9" a="1"/>
  <c r="D19" i="9" s="1"/>
  <c r="D30" i="9" a="1"/>
  <c r="D30" i="9" s="1"/>
  <c r="D11" i="9" a="1"/>
  <c r="D11" i="9" s="1"/>
  <c r="L7" i="9"/>
  <c r="L23" i="9" s="1"/>
  <c r="L11" i="9"/>
  <c r="L27" i="9" s="1"/>
  <c r="L9" i="9"/>
  <c r="L25" i="9" s="1"/>
  <c r="L10" i="9"/>
  <c r="L26" i="9" s="1"/>
  <c r="D21" i="9" a="1"/>
  <c r="D21" i="9" s="1"/>
  <c r="N13" i="28" l="1"/>
  <c r="N14" i="28" s="1"/>
  <c r="N15" i="28" s="1"/>
  <c r="N16" i="28" s="1"/>
  <c r="N17" i="28" s="1"/>
  <c r="I12" i="28" l="1"/>
  <c r="I13" i="28" l="1"/>
  <c r="E12" i="28"/>
  <c r="I14" i="28" l="1"/>
  <c r="N60" i="9"/>
  <c r="O60" i="9" s="1"/>
  <c r="V27" i="9" l="1"/>
  <c r="V37" i="9"/>
  <c r="V24" i="9"/>
  <c r="V38" i="9"/>
  <c r="V40" i="9" s="1"/>
  <c r="V41" i="9" s="1"/>
  <c r="N58" i="9" s="1"/>
  <c r="O58" i="9" s="1"/>
  <c r="V42" i="9"/>
  <c r="N59" i="9" s="1"/>
  <c r="O59" i="9" s="1"/>
  <c r="V28" i="9"/>
  <c r="V25" i="9"/>
  <c r="V26" i="9"/>
  <c r="I15" i="28"/>
  <c r="P9" i="9"/>
  <c r="AA12" i="29" l="1"/>
  <c r="AD12" i="29" s="1"/>
  <c r="H31" i="9" s="1"/>
  <c r="AA7" i="29"/>
  <c r="AD7" i="29" s="1"/>
  <c r="AA11" i="29"/>
  <c r="AD11" i="29" s="1"/>
  <c r="AA10" i="29"/>
  <c r="AD10" i="29" s="1"/>
  <c r="AA8" i="29"/>
  <c r="AA9" i="29"/>
  <c r="AD9" i="29" s="1"/>
  <c r="AA13" i="29"/>
  <c r="AD13" i="29" s="1"/>
  <c r="H32" i="9" s="1"/>
  <c r="AA32" i="29"/>
  <c r="AD32" i="29" s="1"/>
  <c r="H21" i="9" s="1" a="1"/>
  <c r="H21" i="9" s="1"/>
  <c r="AA25" i="29"/>
  <c r="AD25" i="29" s="1"/>
  <c r="H14" i="9" s="1" a="1"/>
  <c r="H14" i="9" s="1"/>
  <c r="AA41" i="29"/>
  <c r="AD41" i="29" s="1"/>
  <c r="H30" i="9" s="1" a="1"/>
  <c r="H30" i="9" s="1"/>
  <c r="AA23" i="29"/>
  <c r="AD23" i="29" s="1"/>
  <c r="H12" i="9" s="1" a="1"/>
  <c r="H12" i="9" s="1"/>
  <c r="AA40" i="29"/>
  <c r="AD40" i="29" s="1"/>
  <c r="H29" i="9" s="1" a="1"/>
  <c r="H29" i="9" s="1"/>
  <c r="AA34" i="29"/>
  <c r="AD34" i="29" s="1"/>
  <c r="H23" i="9" s="1" a="1"/>
  <c r="H23" i="9" s="1"/>
  <c r="AA28" i="29"/>
  <c r="AD28" i="29" s="1"/>
  <c r="H17" i="9" s="1" a="1"/>
  <c r="H17" i="9" s="1"/>
  <c r="AA22" i="29"/>
  <c r="AD22" i="29" s="1"/>
  <c r="H11" i="9" s="1" a="1"/>
  <c r="H11" i="9" s="1"/>
  <c r="AA39" i="29"/>
  <c r="AD39" i="29" s="1"/>
  <c r="H28" i="9" s="1" a="1"/>
  <c r="H28" i="9" s="1"/>
  <c r="AA33" i="29"/>
  <c r="AD33" i="29" s="1"/>
  <c r="H22" i="9" s="1" a="1"/>
  <c r="H22" i="9" s="1"/>
  <c r="AA27" i="29"/>
  <c r="AD27" i="29" s="1"/>
  <c r="H16" i="9" s="1" a="1"/>
  <c r="H16" i="9" s="1"/>
  <c r="AA21" i="29"/>
  <c r="AD21" i="29" s="1"/>
  <c r="H10" i="9" s="1" a="1"/>
  <c r="H10" i="9" s="1"/>
  <c r="AA38" i="29"/>
  <c r="AD38" i="29" s="1"/>
  <c r="H27" i="9" s="1" a="1"/>
  <c r="H27" i="9" s="1"/>
  <c r="AA20" i="29"/>
  <c r="AD20" i="29" s="1"/>
  <c r="H9" i="9" s="1" a="1"/>
  <c r="H9" i="9" s="1"/>
  <c r="AA26" i="29"/>
  <c r="AD26" i="29" s="1"/>
  <c r="H15" i="9" s="1" a="1"/>
  <c r="H15" i="9" s="1"/>
  <c r="AD6" i="29"/>
  <c r="AA37" i="29"/>
  <c r="AD37" i="29" s="1"/>
  <c r="H26" i="9" s="1" a="1"/>
  <c r="H26" i="9" s="1"/>
  <c r="AA19" i="29"/>
  <c r="AD19" i="29" s="1"/>
  <c r="H8" i="9" s="1" a="1"/>
  <c r="H8" i="9" s="1"/>
  <c r="AA30" i="29"/>
  <c r="AD30" i="29" s="1"/>
  <c r="H19" i="9" s="1" a="1"/>
  <c r="H19" i="9" s="1"/>
  <c r="AA36" i="29"/>
  <c r="AD36" i="29" s="1"/>
  <c r="H25" i="9" s="1" a="1"/>
  <c r="H25" i="9" s="1"/>
  <c r="AA24" i="29"/>
  <c r="AD24" i="29" s="1"/>
  <c r="H13" i="9" s="1" a="1"/>
  <c r="H13" i="9" s="1"/>
  <c r="AA35" i="29"/>
  <c r="AD35" i="29" s="1"/>
  <c r="H24" i="9" s="1" a="1"/>
  <c r="H24" i="9" s="1"/>
  <c r="AA31" i="29"/>
  <c r="AD31" i="29" s="1"/>
  <c r="H20" i="9" s="1" a="1"/>
  <c r="H20" i="9" s="1"/>
  <c r="AA18" i="29"/>
  <c r="AD18" i="29" s="1"/>
  <c r="H7" i="9" s="1" a="1"/>
  <c r="H7" i="9" s="1"/>
  <c r="AA29" i="29"/>
  <c r="AD29" i="29" s="1"/>
  <c r="H18" i="9" s="1" a="1"/>
  <c r="H18" i="9" s="1"/>
  <c r="AD8" i="29"/>
  <c r="I16" i="28"/>
  <c r="B31" i="9"/>
  <c r="C31" i="9"/>
  <c r="M14" i="9" l="1"/>
  <c r="E32" i="9"/>
  <c r="M8" i="9"/>
  <c r="M24" i="9" s="1"/>
  <c r="E31" i="9"/>
  <c r="N61" i="9" s="1"/>
  <c r="O61" i="9" s="1"/>
  <c r="O63" i="9" s="1"/>
  <c r="T5" i="9" s="1"/>
  <c r="E8" i="9" a="1"/>
  <c r="E8" i="9" s="1"/>
  <c r="M10" i="9"/>
  <c r="M26" i="9" s="1"/>
  <c r="M11" i="9"/>
  <c r="M27" i="9" s="1"/>
  <c r="M12" i="9"/>
  <c r="M28" i="9" s="1"/>
  <c r="M9" i="9"/>
  <c r="M25" i="9" s="1"/>
  <c r="M7" i="9"/>
  <c r="M23" i="9" s="1"/>
  <c r="E21" i="9" a="1"/>
  <c r="E21" i="9" s="1"/>
  <c r="E20" i="9" a="1"/>
  <c r="E20" i="9" s="1"/>
  <c r="E18" i="9" a="1"/>
  <c r="E18" i="9" s="1"/>
  <c r="E22" i="9" a="1"/>
  <c r="E22" i="9" s="1"/>
  <c r="E29" i="9" a="1"/>
  <c r="E29" i="9" s="1"/>
  <c r="E26" i="9" a="1"/>
  <c r="E26" i="9" s="1"/>
  <c r="E23" i="9" a="1"/>
  <c r="E23" i="9" s="1"/>
  <c r="E19" i="9" a="1"/>
  <c r="E19" i="9" s="1"/>
  <c r="E30" i="9" a="1"/>
  <c r="E30" i="9" s="1"/>
  <c r="E25" i="9" a="1"/>
  <c r="E25" i="9" s="1"/>
  <c r="E27" i="9" a="1"/>
  <c r="E27" i="9" s="1"/>
  <c r="E28" i="9" a="1"/>
  <c r="E28" i="9" s="1"/>
  <c r="E24" i="9" a="1"/>
  <c r="E24" i="9" s="1"/>
  <c r="M13" i="9"/>
  <c r="E12" i="9" a="1"/>
  <c r="E12" i="9" s="1"/>
  <c r="E9" i="9" a="1"/>
  <c r="E9" i="9" s="1"/>
  <c r="E11" i="9" a="1"/>
  <c r="E11" i="9" s="1"/>
  <c r="E13" i="9" a="1"/>
  <c r="E13" i="9" s="1"/>
  <c r="E16" i="9" a="1"/>
  <c r="E16" i="9" s="1"/>
  <c r="E10" i="9" a="1"/>
  <c r="E10" i="9" s="1"/>
  <c r="E14" i="9" a="1"/>
  <c r="E14" i="9" s="1"/>
  <c r="E17" i="9" a="1"/>
  <c r="E17" i="9" s="1"/>
  <c r="E15" i="9" a="1"/>
  <c r="E15" i="9" s="1"/>
  <c r="E7" i="9" a="1"/>
  <c r="E7" i="9" s="1"/>
  <c r="I17" i="28"/>
  <c r="P8" i="9" l="1"/>
  <c r="P10" i="9" l="1"/>
  <c r="P11" i="9" l="1"/>
  <c r="AC41" i="34" l="1"/>
  <c r="AB41" i="34"/>
  <c r="S41" i="34"/>
  <c r="R41" i="34"/>
  <c r="AC40" i="34"/>
  <c r="AB40" i="34"/>
  <c r="S40" i="34"/>
  <c r="R40" i="34"/>
  <c r="AC39" i="34"/>
  <c r="AB39" i="34"/>
  <c r="S39" i="34"/>
  <c r="R39" i="34"/>
  <c r="AC38" i="34"/>
  <c r="AB38" i="34"/>
  <c r="S38" i="34"/>
  <c r="R38" i="34"/>
  <c r="AC37" i="34"/>
  <c r="AB37" i="34"/>
  <c r="S37" i="34"/>
  <c r="R37" i="34"/>
  <c r="AC36" i="34"/>
  <c r="AB36" i="34"/>
  <c r="S36" i="34"/>
  <c r="R36" i="34"/>
  <c r="AC35" i="34"/>
  <c r="AB35" i="34"/>
  <c r="S35" i="34"/>
  <c r="R35" i="34"/>
  <c r="AC34" i="34"/>
  <c r="AB34" i="34"/>
  <c r="S34" i="34"/>
  <c r="R34" i="34"/>
  <c r="AC33" i="34"/>
  <c r="AB33" i="34"/>
  <c r="S33" i="34"/>
  <c r="R33" i="34"/>
  <c r="AC32" i="34"/>
  <c r="AB32" i="34"/>
  <c r="S32" i="34"/>
  <c r="R32" i="34"/>
  <c r="AC31" i="34"/>
  <c r="AB31" i="34"/>
  <c r="S31" i="34"/>
  <c r="R31" i="34"/>
  <c r="AC30" i="34"/>
  <c r="AB30" i="34"/>
  <c r="S30" i="34"/>
  <c r="R30" i="34"/>
  <c r="AC29" i="34"/>
  <c r="AB29" i="34"/>
  <c r="S29" i="34"/>
  <c r="R29" i="34"/>
  <c r="AC28" i="34"/>
  <c r="AB28" i="34"/>
  <c r="S28" i="34"/>
  <c r="R28" i="34"/>
  <c r="AC27" i="34"/>
  <c r="AB27" i="34"/>
  <c r="S27" i="34"/>
  <c r="R27" i="34"/>
  <c r="AC26" i="34"/>
  <c r="AB26" i="34"/>
  <c r="S26" i="34"/>
  <c r="R26" i="34"/>
  <c r="AC25" i="34"/>
  <c r="AB25" i="34"/>
  <c r="S25" i="34"/>
  <c r="R25" i="34"/>
  <c r="AC24" i="34"/>
  <c r="AB24" i="34"/>
  <c r="S24" i="34"/>
  <c r="R24" i="34"/>
  <c r="AC23" i="34"/>
  <c r="AB23" i="34"/>
  <c r="S23" i="34"/>
  <c r="R23" i="34"/>
  <c r="AC22" i="34"/>
  <c r="AB22" i="34"/>
  <c r="S22" i="34"/>
  <c r="R22" i="34"/>
  <c r="AC21" i="34"/>
  <c r="AB21" i="34"/>
  <c r="S21" i="34"/>
  <c r="R21" i="34"/>
  <c r="AC20" i="34"/>
  <c r="AB20" i="34"/>
  <c r="S20" i="34"/>
  <c r="R20" i="34"/>
  <c r="AC19" i="34"/>
  <c r="AB19" i="34"/>
  <c r="S19" i="34"/>
  <c r="R19" i="34"/>
  <c r="AC18" i="34"/>
  <c r="AB18" i="34"/>
  <c r="S18" i="34"/>
  <c r="R18" i="34"/>
  <c r="AC13" i="34"/>
  <c r="AB13" i="34"/>
  <c r="S13" i="34"/>
  <c r="R13" i="34"/>
  <c r="AC12" i="34"/>
  <c r="AB12" i="34"/>
  <c r="S12" i="34"/>
  <c r="R12" i="34"/>
  <c r="AC11" i="34"/>
  <c r="AB11" i="34"/>
  <c r="S11" i="34"/>
  <c r="Q28" i="38" s="1"/>
  <c r="R11" i="34"/>
  <c r="AC10" i="34"/>
  <c r="AB10" i="34"/>
  <c r="S10" i="34"/>
  <c r="Q27" i="38" s="1"/>
  <c r="R10" i="34"/>
  <c r="AC9" i="34"/>
  <c r="AB9" i="34"/>
  <c r="S9" i="34"/>
  <c r="Q26" i="38" s="1"/>
  <c r="R9" i="34"/>
  <c r="AC8" i="34"/>
  <c r="AB8" i="34"/>
  <c r="S8" i="34"/>
  <c r="Q25" i="38" s="1"/>
  <c r="R8" i="34"/>
  <c r="AC7" i="34"/>
  <c r="AB7" i="34"/>
  <c r="S7" i="34"/>
  <c r="Q24" i="38" s="1"/>
  <c r="R7" i="34"/>
  <c r="AC6" i="34"/>
  <c r="AB6" i="34"/>
  <c r="S6" i="34"/>
  <c r="Q23" i="38" s="1"/>
  <c r="R6" i="34"/>
  <c r="AD7" i="34" l="1"/>
  <c r="AE7" i="34"/>
  <c r="R24" i="39" s="1"/>
  <c r="O24" i="39" a="1"/>
  <c r="AE9" i="34"/>
  <c r="R26" i="39" s="1"/>
  <c r="O26" i="39" a="1"/>
  <c r="AD9" i="34"/>
  <c r="O28" i="39" a="1"/>
  <c r="AE11" i="34"/>
  <c r="R28" i="39" s="1"/>
  <c r="AD11" i="34"/>
  <c r="AD13" i="34"/>
  <c r="AE13" i="34"/>
  <c r="F31" i="39" s="1"/>
  <c r="AE19" i="34"/>
  <c r="F8" i="39" s="1"/>
  <c r="L3" i="30" s="1"/>
  <c r="AD19" i="34"/>
  <c r="AE21" i="34"/>
  <c r="F10" i="39" s="1"/>
  <c r="L5" i="30" s="1"/>
  <c r="AD21" i="34"/>
  <c r="AE23" i="34"/>
  <c r="F12" i="39" s="1"/>
  <c r="L7" i="30" s="1"/>
  <c r="AD23" i="34"/>
  <c r="AE25" i="34"/>
  <c r="F14" i="39" s="1"/>
  <c r="L9" i="30" s="1"/>
  <c r="AD25" i="34"/>
  <c r="AD27" i="34"/>
  <c r="AE27" i="34"/>
  <c r="F16" i="39" s="1"/>
  <c r="L11" i="30" s="1"/>
  <c r="AE29" i="34"/>
  <c r="F18" i="39" s="1"/>
  <c r="L13" i="30" s="1"/>
  <c r="AD29" i="34"/>
  <c r="AE31" i="34"/>
  <c r="F20" i="39" s="1"/>
  <c r="L15" i="30" s="1"/>
  <c r="AD31" i="34"/>
  <c r="AD33" i="34"/>
  <c r="AE33" i="34"/>
  <c r="F22" i="39" s="1"/>
  <c r="L17" i="30" s="1"/>
  <c r="AD35" i="34"/>
  <c r="AE35" i="34"/>
  <c r="F24" i="39" s="1"/>
  <c r="L19" i="30" s="1"/>
  <c r="AD37" i="34"/>
  <c r="AE37" i="34"/>
  <c r="F26" i="39" s="1"/>
  <c r="L21" i="30" s="1"/>
  <c r="AE39" i="34"/>
  <c r="F28" i="39" s="1"/>
  <c r="L23" i="30" s="1"/>
  <c r="AD39" i="34"/>
  <c r="AD41" i="34"/>
  <c r="AE41" i="34"/>
  <c r="F30" i="39" s="1"/>
  <c r="L25" i="30" s="1"/>
  <c r="T6" i="34"/>
  <c r="U6" i="34"/>
  <c r="R23" i="38" s="1"/>
  <c r="P23" i="38"/>
  <c r="P25" i="38"/>
  <c r="T8" i="34"/>
  <c r="U8" i="34"/>
  <c r="R25" i="38" s="1"/>
  <c r="P27" i="38"/>
  <c r="U10" i="34"/>
  <c r="R27" i="38" s="1"/>
  <c r="T10" i="34"/>
  <c r="T12" i="34"/>
  <c r="U12" i="34"/>
  <c r="F31" i="38" s="1"/>
  <c r="T18" i="34"/>
  <c r="U18" i="34"/>
  <c r="F7" i="38" s="1"/>
  <c r="E2" i="30" s="1"/>
  <c r="T20" i="34"/>
  <c r="U20" i="34"/>
  <c r="F9" i="38" s="1"/>
  <c r="E4" i="30" s="1"/>
  <c r="T22" i="34"/>
  <c r="U22" i="34"/>
  <c r="F11" i="38" s="1"/>
  <c r="E6" i="30" s="1"/>
  <c r="T24" i="34"/>
  <c r="U24" i="34"/>
  <c r="F13" i="38" s="1"/>
  <c r="E8" i="30" s="1"/>
  <c r="U26" i="34"/>
  <c r="F15" i="38" s="1"/>
  <c r="E10" i="30" s="1"/>
  <c r="T26" i="34"/>
  <c r="T28" i="34"/>
  <c r="U28" i="34"/>
  <c r="F17" i="38" s="1"/>
  <c r="E12" i="30" s="1"/>
  <c r="T30" i="34"/>
  <c r="U30" i="34"/>
  <c r="F19" i="38" s="1"/>
  <c r="E14" i="30" s="1"/>
  <c r="T32" i="34"/>
  <c r="U32" i="34"/>
  <c r="F21" i="38" s="1"/>
  <c r="E16" i="30" s="1"/>
  <c r="U34" i="34"/>
  <c r="F23" i="38" s="1"/>
  <c r="E18" i="30" s="1"/>
  <c r="T34" i="34"/>
  <c r="U36" i="34"/>
  <c r="F25" i="38" s="1"/>
  <c r="E20" i="30" s="1"/>
  <c r="T36" i="34"/>
  <c r="U38" i="34"/>
  <c r="F27" i="38" s="1"/>
  <c r="E22" i="30" s="1"/>
  <c r="T38" i="34"/>
  <c r="T40" i="34"/>
  <c r="U40" i="34"/>
  <c r="F29" i="38" s="1"/>
  <c r="E24" i="30" s="1"/>
  <c r="AE6" i="34"/>
  <c r="R23" i="39" s="1"/>
  <c r="O23" i="39" a="1"/>
  <c r="AD6" i="34"/>
  <c r="AE8" i="34"/>
  <c r="R25" i="39" s="1"/>
  <c r="O25" i="39" a="1"/>
  <c r="AD8" i="34"/>
  <c r="AE10" i="34"/>
  <c r="R27" i="39" s="1"/>
  <c r="AD10" i="34"/>
  <c r="O27" i="39" a="1"/>
  <c r="AD18" i="34"/>
  <c r="AE18" i="34"/>
  <c r="F7" i="39" s="1"/>
  <c r="L2" i="30" s="1"/>
  <c r="AE20" i="34"/>
  <c r="F9" i="39" s="1"/>
  <c r="L4" i="30" s="1"/>
  <c r="AD20" i="34"/>
  <c r="AE22" i="34"/>
  <c r="F11" i="39" s="1"/>
  <c r="L6" i="30" s="1"/>
  <c r="AD22" i="34"/>
  <c r="AD24" i="34"/>
  <c r="AE24" i="34"/>
  <c r="F13" i="39" s="1"/>
  <c r="L8" i="30" s="1"/>
  <c r="AD26" i="34"/>
  <c r="AE26" i="34"/>
  <c r="F15" i="39" s="1"/>
  <c r="L10" i="30" s="1"/>
  <c r="AD28" i="34"/>
  <c r="AE28" i="34"/>
  <c r="F17" i="39" s="1"/>
  <c r="L12" i="30" s="1"/>
  <c r="AD30" i="34"/>
  <c r="AE30" i="34"/>
  <c r="F19" i="39" s="1"/>
  <c r="L14" i="30" s="1"/>
  <c r="AE32" i="34"/>
  <c r="F21" i="39" s="1"/>
  <c r="L16" i="30" s="1"/>
  <c r="AD32" i="34"/>
  <c r="AE34" i="34"/>
  <c r="F23" i="39" s="1"/>
  <c r="L18" i="30" s="1"/>
  <c r="AD34" i="34"/>
  <c r="AD36" i="34"/>
  <c r="AE36" i="34"/>
  <c r="F25" i="39" s="1"/>
  <c r="L20" i="30" s="1"/>
  <c r="AE38" i="34"/>
  <c r="F27" i="39" s="1"/>
  <c r="L22" i="30" s="1"/>
  <c r="AD38" i="34"/>
  <c r="AD40" i="34"/>
  <c r="AE40" i="34"/>
  <c r="F29" i="39" s="1"/>
  <c r="L24" i="30" s="1"/>
  <c r="P24" i="38"/>
  <c r="U7" i="34"/>
  <c r="R24" i="38" s="1"/>
  <c r="T7" i="34"/>
  <c r="P26" i="38"/>
  <c r="T9" i="34"/>
  <c r="U9" i="34"/>
  <c r="R26" i="38" s="1"/>
  <c r="P28" i="38"/>
  <c r="U11" i="34"/>
  <c r="R28" i="38" s="1"/>
  <c r="T11" i="34"/>
  <c r="U13" i="34"/>
  <c r="F32" i="38" s="1"/>
  <c r="T13" i="34"/>
  <c r="U19" i="34"/>
  <c r="F8" i="38" s="1"/>
  <c r="E3" i="30" s="1"/>
  <c r="T19" i="34"/>
  <c r="T21" i="34"/>
  <c r="U21" i="34"/>
  <c r="F10" i="38" s="1"/>
  <c r="E5" i="30" s="1"/>
  <c r="U23" i="34"/>
  <c r="F12" i="38" s="1"/>
  <c r="E7" i="30" s="1"/>
  <c r="T23" i="34"/>
  <c r="T25" i="34"/>
  <c r="U25" i="34"/>
  <c r="F14" i="38" s="1"/>
  <c r="E9" i="30" s="1"/>
  <c r="T27" i="34"/>
  <c r="U27" i="34"/>
  <c r="F16" i="38" s="1"/>
  <c r="E11" i="30" s="1"/>
  <c r="T29" i="34"/>
  <c r="U29" i="34"/>
  <c r="F18" i="38" s="1"/>
  <c r="E13" i="30" s="1"/>
  <c r="U31" i="34"/>
  <c r="F20" i="38" s="1"/>
  <c r="E15" i="30" s="1"/>
  <c r="T31" i="34"/>
  <c r="T33" i="34"/>
  <c r="U33" i="34"/>
  <c r="F22" i="38" s="1"/>
  <c r="E17" i="30" s="1"/>
  <c r="U35" i="34"/>
  <c r="F24" i="38" s="1"/>
  <c r="E19" i="30" s="1"/>
  <c r="T35" i="34"/>
  <c r="T37" i="34"/>
  <c r="U37" i="34"/>
  <c r="F26" i="38" s="1"/>
  <c r="E21" i="30" s="1"/>
  <c r="T39" i="34"/>
  <c r="U39" i="34"/>
  <c r="F28" i="38" s="1"/>
  <c r="E23" i="30" s="1"/>
  <c r="U41" i="34"/>
  <c r="F30" i="38" s="1"/>
  <c r="E25" i="30" s="1"/>
  <c r="T41" i="34"/>
  <c r="D26" i="38" l="1"/>
  <c r="D21" i="30" s="1"/>
  <c r="D24" i="38"/>
  <c r="D19" i="30" s="1"/>
  <c r="I10" i="38"/>
  <c r="I26" i="38" s="1"/>
  <c r="S26" i="38" s="1"/>
  <c r="D19" i="39"/>
  <c r="K14" i="30" s="1"/>
  <c r="I12" i="38"/>
  <c r="I28" i="38" s="1"/>
  <c r="D15" i="39"/>
  <c r="K10" i="30" s="1"/>
  <c r="D7" i="39"/>
  <c r="K2" i="30" s="1"/>
  <c r="O23" i="39"/>
  <c r="Q23" i="39"/>
  <c r="P23" i="39"/>
  <c r="D23" i="38"/>
  <c r="D18" i="30" s="1"/>
  <c r="D15" i="38"/>
  <c r="D10" i="30" s="1"/>
  <c r="I9" i="38"/>
  <c r="I25" i="38" s="1"/>
  <c r="I9" i="39"/>
  <c r="I25" i="39" s="1"/>
  <c r="D18" i="39"/>
  <c r="K13" i="30" s="1"/>
  <c r="D10" i="39"/>
  <c r="K5" i="30" s="1"/>
  <c r="O28" i="39"/>
  <c r="Q28" i="39"/>
  <c r="P28" i="39"/>
  <c r="D20" i="38"/>
  <c r="D15" i="30" s="1"/>
  <c r="D12" i="38"/>
  <c r="D7" i="30" s="1"/>
  <c r="D28" i="38"/>
  <c r="D23" i="30" s="1"/>
  <c r="D21" i="39"/>
  <c r="K16" i="30" s="1"/>
  <c r="O27" i="39"/>
  <c r="Q27" i="39"/>
  <c r="P27" i="39"/>
  <c r="D7" i="38"/>
  <c r="D2" i="30" s="1"/>
  <c r="D29" i="39"/>
  <c r="K24" i="30" s="1"/>
  <c r="D13" i="39"/>
  <c r="K8" i="30" s="1"/>
  <c r="I11" i="39"/>
  <c r="I27" i="39" s="1"/>
  <c r="D26" i="39"/>
  <c r="K21" i="30" s="1"/>
  <c r="I10" i="39"/>
  <c r="I26" i="39" s="1"/>
  <c r="S26" i="39" s="1"/>
  <c r="D10" i="38"/>
  <c r="D5" i="30" s="1"/>
  <c r="D27" i="39"/>
  <c r="K22" i="30" s="1"/>
  <c r="D11" i="39"/>
  <c r="K6" i="30" s="1"/>
  <c r="D29" i="38"/>
  <c r="D24" i="30" s="1"/>
  <c r="V40" i="34"/>
  <c r="E29" i="38" s="1"/>
  <c r="C24" i="30" s="1"/>
  <c r="D21" i="38"/>
  <c r="D16" i="30" s="1"/>
  <c r="D13" i="38"/>
  <c r="D8" i="30" s="1"/>
  <c r="D31" i="38"/>
  <c r="I13" i="38"/>
  <c r="D8" i="39"/>
  <c r="K3" i="30" s="1"/>
  <c r="O26" i="39"/>
  <c r="Q26" i="39"/>
  <c r="P26" i="39"/>
  <c r="D8" i="38"/>
  <c r="D3" i="30" s="1"/>
  <c r="I11" i="38"/>
  <c r="I27" i="38" s="1"/>
  <c r="I7" i="38"/>
  <c r="I23" i="38" s="1"/>
  <c r="D24" i="39"/>
  <c r="K19" i="30" s="1"/>
  <c r="D16" i="39"/>
  <c r="K11" i="30" s="1"/>
  <c r="D11" i="38"/>
  <c r="D6" i="30" s="1"/>
  <c r="D14" i="39"/>
  <c r="K9" i="30" s="1"/>
  <c r="O24" i="39"/>
  <c r="Q24" i="39"/>
  <c r="P24" i="39"/>
  <c r="D27" i="38"/>
  <c r="D22" i="30" s="1"/>
  <c r="D16" i="38"/>
  <c r="D11" i="30" s="1"/>
  <c r="D9" i="39"/>
  <c r="K4" i="30" s="1"/>
  <c r="V13" i="34"/>
  <c r="D32" i="38"/>
  <c r="I14" i="38"/>
  <c r="J60" i="38" s="1"/>
  <c r="K60" i="38" s="1"/>
  <c r="I8" i="38"/>
  <c r="I24" i="38" s="1"/>
  <c r="D25" i="39"/>
  <c r="K20" i="30" s="1"/>
  <c r="D17" i="39"/>
  <c r="K12" i="30" s="1"/>
  <c r="D25" i="38"/>
  <c r="D20" i="30" s="1"/>
  <c r="D30" i="39"/>
  <c r="K25" i="30" s="1"/>
  <c r="D22" i="39"/>
  <c r="K17" i="30" s="1"/>
  <c r="D31" i="39"/>
  <c r="D18" i="38"/>
  <c r="D13" i="30" s="1"/>
  <c r="O25" i="39"/>
  <c r="Q25" i="39"/>
  <c r="P25" i="39"/>
  <c r="D19" i="38"/>
  <c r="D14" i="30" s="1"/>
  <c r="D30" i="38"/>
  <c r="D25" i="30" s="1"/>
  <c r="V41" i="34"/>
  <c r="E30" i="38" s="1"/>
  <c r="C25" i="30" s="1"/>
  <c r="D22" i="38"/>
  <c r="D17" i="30" s="1"/>
  <c r="D14" i="38"/>
  <c r="D9" i="30" s="1"/>
  <c r="D23" i="39"/>
  <c r="K18" i="30" s="1"/>
  <c r="I7" i="39"/>
  <c r="I23" i="39" s="1"/>
  <c r="D17" i="38"/>
  <c r="D12" i="30" s="1"/>
  <c r="D9" i="38"/>
  <c r="D4" i="30" s="1"/>
  <c r="D28" i="39"/>
  <c r="K23" i="30" s="1"/>
  <c r="D20" i="39"/>
  <c r="K15" i="30" s="1"/>
  <c r="D12" i="39"/>
  <c r="K7" i="30" s="1"/>
  <c r="I12" i="39"/>
  <c r="I28" i="39" s="1"/>
  <c r="I8" i="39"/>
  <c r="I24" i="39" s="1"/>
  <c r="S24" i="38" l="1"/>
  <c r="S27" i="39"/>
  <c r="S28" i="38"/>
  <c r="S24" i="39"/>
  <c r="R39" i="38"/>
  <c r="R35" i="38"/>
  <c r="R34" i="38"/>
  <c r="S25" i="39"/>
  <c r="S27" i="38"/>
  <c r="S25" i="38"/>
  <c r="R34" i="39"/>
  <c r="S28" i="39"/>
  <c r="E32" i="38"/>
  <c r="J14" i="38"/>
  <c r="R39" i="39"/>
  <c r="R35" i="39"/>
  <c r="J61" i="39" l="1"/>
  <c r="K61" i="39" s="1"/>
  <c r="O19" i="30"/>
  <c r="O23" i="30"/>
  <c r="O2" i="30"/>
  <c r="O6" i="30"/>
  <c r="O10" i="30"/>
  <c r="O13" i="30"/>
  <c r="O11" i="30"/>
  <c r="O21" i="30"/>
  <c r="O25" i="30"/>
  <c r="O3" i="30"/>
  <c r="O20" i="30"/>
  <c r="O24" i="30"/>
  <c r="O17" i="30"/>
  <c r="O7" i="30"/>
  <c r="O4" i="30"/>
  <c r="O8" i="30"/>
  <c r="O14" i="30"/>
  <c r="O18" i="30"/>
  <c r="O12" i="30"/>
  <c r="O15" i="30"/>
  <c r="O22" i="30"/>
  <c r="O5" i="30"/>
  <c r="O9" i="30"/>
  <c r="O16" i="30"/>
  <c r="AF25" i="34"/>
  <c r="E14" i="39" s="1"/>
  <c r="J9" i="30" s="1"/>
  <c r="AF20" i="34"/>
  <c r="E9" i="39" s="1"/>
  <c r="J4" i="30" s="1"/>
  <c r="AF38" i="34"/>
  <c r="E27" i="39" s="1"/>
  <c r="J22" i="30" s="1"/>
  <c r="AF35" i="34"/>
  <c r="E24" i="39" s="1"/>
  <c r="J19" i="30" s="1"/>
  <c r="AF6" i="34"/>
  <c r="J7" i="39" s="1"/>
  <c r="J23" i="39" s="1"/>
  <c r="AF39" i="34"/>
  <c r="E28" i="39" s="1"/>
  <c r="J23" i="30" s="1"/>
  <c r="AF29" i="34"/>
  <c r="E18" i="39" s="1"/>
  <c r="J13" i="30" s="1"/>
  <c r="AF13" i="34"/>
  <c r="E31" i="39" s="1"/>
  <c r="AF31" i="34"/>
  <c r="E20" i="39" s="1"/>
  <c r="J15" i="30" s="1"/>
  <c r="AF26" i="34"/>
  <c r="E15" i="39" s="1"/>
  <c r="J10" i="30" s="1"/>
  <c r="AF21" i="34"/>
  <c r="E10" i="39" s="1"/>
  <c r="J5" i="30" s="1"/>
  <c r="AF37" i="34"/>
  <c r="E26" i="39" s="1"/>
  <c r="J21" i="30" s="1"/>
  <c r="AF22" i="34"/>
  <c r="E11" i="39" s="1"/>
  <c r="J6" i="30" s="1"/>
  <c r="AF27" i="34"/>
  <c r="E16" i="39" s="1"/>
  <c r="J11" i="30" s="1"/>
  <c r="AF18" i="34"/>
  <c r="E7" i="39" s="1"/>
  <c r="J2" i="30" s="1"/>
  <c r="AF23" i="34"/>
  <c r="E12" i="39" s="1"/>
  <c r="J7" i="30" s="1"/>
  <c r="AF40" i="34"/>
  <c r="E29" i="39" s="1"/>
  <c r="J24" i="30" s="1"/>
  <c r="AF9" i="34"/>
  <c r="J10" i="39" s="1"/>
  <c r="J26" i="39" s="1"/>
  <c r="AF30" i="34"/>
  <c r="E19" i="39" s="1"/>
  <c r="J14" i="30" s="1"/>
  <c r="AF32" i="34"/>
  <c r="E21" i="39" s="1"/>
  <c r="J16" i="30" s="1"/>
  <c r="AF19" i="34"/>
  <c r="E8" i="39" s="1"/>
  <c r="J3" i="30" s="1"/>
  <c r="AF11" i="34"/>
  <c r="J12" i="39" s="1"/>
  <c r="J28" i="39" s="1"/>
  <c r="AF8" i="34"/>
  <c r="J9" i="39" s="1"/>
  <c r="J25" i="39" s="1"/>
  <c r="AF24" i="34"/>
  <c r="E13" i="39" s="1"/>
  <c r="J8" i="30" s="1"/>
  <c r="AF36" i="34"/>
  <c r="E25" i="39" s="1"/>
  <c r="J20" i="30" s="1"/>
  <c r="AF33" i="34"/>
  <c r="E22" i="39" s="1"/>
  <c r="J17" i="30" s="1"/>
  <c r="AF34" i="34"/>
  <c r="E23" i="39" s="1"/>
  <c r="J18" i="30" s="1"/>
  <c r="AF7" i="34"/>
  <c r="J8" i="39" s="1"/>
  <c r="J24" i="39" s="1"/>
  <c r="AF10" i="34"/>
  <c r="J11" i="39" s="1"/>
  <c r="J27" i="39" s="1"/>
  <c r="AF28" i="34"/>
  <c r="E17" i="39" s="1"/>
  <c r="J12" i="30" s="1"/>
  <c r="AF41" i="34"/>
  <c r="E30" i="39" s="1"/>
  <c r="J25" i="30" s="1"/>
  <c r="F15" i="30"/>
  <c r="F9" i="30"/>
  <c r="F14" i="30"/>
  <c r="F16" i="30"/>
  <c r="F23" i="30"/>
  <c r="F18" i="30"/>
  <c r="F7" i="30"/>
  <c r="F11" i="30"/>
  <c r="F17" i="30"/>
  <c r="F25" i="30"/>
  <c r="F12" i="30"/>
  <c r="F22" i="30"/>
  <c r="F2" i="30"/>
  <c r="F3" i="30"/>
  <c r="F10" i="30"/>
  <c r="F19" i="30"/>
  <c r="F6" i="30"/>
  <c r="F24" i="30"/>
  <c r="F13" i="30"/>
  <c r="F21" i="30"/>
  <c r="F4" i="30"/>
  <c r="F8" i="30"/>
  <c r="F5" i="30"/>
  <c r="J59" i="38"/>
  <c r="K59" i="38" s="1"/>
  <c r="F20" i="30"/>
  <c r="R37" i="39"/>
  <c r="R38" i="39" s="1"/>
  <c r="P18" i="30"/>
  <c r="P8" i="30"/>
  <c r="P2" i="30"/>
  <c r="P13" i="30"/>
  <c r="P9" i="30"/>
  <c r="P22" i="30"/>
  <c r="P17" i="30"/>
  <c r="P5" i="30"/>
  <c r="P23" i="30"/>
  <c r="P4" i="30"/>
  <c r="P19" i="30"/>
  <c r="P10" i="30"/>
  <c r="P14" i="30"/>
  <c r="P6" i="30"/>
  <c r="P24" i="30"/>
  <c r="P15" i="30"/>
  <c r="P20" i="30"/>
  <c r="P11" i="30"/>
  <c r="P16" i="30"/>
  <c r="P7" i="30"/>
  <c r="P25" i="30"/>
  <c r="P3" i="30"/>
  <c r="P21" i="30"/>
  <c r="P12" i="30"/>
  <c r="J62" i="38"/>
  <c r="K62" i="38" s="1"/>
  <c r="H14" i="30"/>
  <c r="H20" i="30"/>
  <c r="H7" i="30"/>
  <c r="H15" i="30"/>
  <c r="H10" i="30"/>
  <c r="H17" i="30"/>
  <c r="H5" i="30"/>
  <c r="H2" i="30"/>
  <c r="H23" i="30"/>
  <c r="H19" i="30"/>
  <c r="H9" i="30"/>
  <c r="H13" i="30"/>
  <c r="H6" i="30"/>
  <c r="H21" i="30"/>
  <c r="H16" i="30"/>
  <c r="H24" i="30"/>
  <c r="H8" i="30"/>
  <c r="H3" i="30"/>
  <c r="H25" i="30"/>
  <c r="H22" i="30"/>
  <c r="H4" i="30"/>
  <c r="H11" i="30"/>
  <c r="H18" i="30"/>
  <c r="H12" i="30"/>
  <c r="V34" i="34"/>
  <c r="E23" i="38" s="1"/>
  <c r="C18" i="30" s="1"/>
  <c r="V23" i="34"/>
  <c r="E12" i="38" s="1"/>
  <c r="C7" i="30" s="1"/>
  <c r="V36" i="34"/>
  <c r="E25" i="38" s="1"/>
  <c r="C20" i="30" s="1"/>
  <c r="V10" i="34"/>
  <c r="J11" i="38" s="1"/>
  <c r="J27" i="38" s="1"/>
  <c r="V22" i="34"/>
  <c r="E11" i="38" s="1"/>
  <c r="C6" i="30" s="1"/>
  <c r="V37" i="34"/>
  <c r="E26" i="38" s="1"/>
  <c r="C21" i="30" s="1"/>
  <c r="V31" i="34"/>
  <c r="E20" i="38" s="1"/>
  <c r="C15" i="30" s="1"/>
  <c r="V24" i="34"/>
  <c r="E13" i="38" s="1"/>
  <c r="C8" i="30" s="1"/>
  <c r="V35" i="34"/>
  <c r="E24" i="38" s="1"/>
  <c r="C19" i="30" s="1"/>
  <c r="V26" i="34"/>
  <c r="E15" i="38" s="1"/>
  <c r="C10" i="30" s="1"/>
  <c r="V18" i="34"/>
  <c r="E7" i="38" s="1"/>
  <c r="C2" i="30" s="1"/>
  <c r="V19" i="34"/>
  <c r="E8" i="38" s="1"/>
  <c r="C3" i="30" s="1"/>
  <c r="V9" i="34"/>
  <c r="J10" i="38" s="1"/>
  <c r="J26" i="38" s="1"/>
  <c r="V39" i="34"/>
  <c r="E28" i="38" s="1"/>
  <c r="C23" i="30" s="1"/>
  <c r="V12" i="34"/>
  <c r="V38" i="34"/>
  <c r="E27" i="38" s="1"/>
  <c r="C22" i="30" s="1"/>
  <c r="V33" i="34"/>
  <c r="E22" i="38" s="1"/>
  <c r="C17" i="30" s="1"/>
  <c r="V28" i="34"/>
  <c r="E17" i="38" s="1"/>
  <c r="C12" i="30" s="1"/>
  <c r="V8" i="34"/>
  <c r="J9" i="38" s="1"/>
  <c r="J25" i="38" s="1"/>
  <c r="V27" i="34"/>
  <c r="E16" i="38" s="1"/>
  <c r="C11" i="30" s="1"/>
  <c r="V25" i="34"/>
  <c r="E14" i="38" s="1"/>
  <c r="C9" i="30" s="1"/>
  <c r="V20" i="34"/>
  <c r="E9" i="38" s="1"/>
  <c r="C4" i="30" s="1"/>
  <c r="V21" i="34"/>
  <c r="E10" i="38" s="1"/>
  <c r="C5" i="30" s="1"/>
  <c r="V32" i="34"/>
  <c r="E21" i="38" s="1"/>
  <c r="C16" i="30" s="1"/>
  <c r="V6" i="34"/>
  <c r="J7" i="38" s="1"/>
  <c r="J23" i="38" s="1"/>
  <c r="V11" i="34"/>
  <c r="J12" i="38" s="1"/>
  <c r="J28" i="38" s="1"/>
  <c r="V30" i="34"/>
  <c r="E19" i="38" s="1"/>
  <c r="C14" i="30" s="1"/>
  <c r="V29" i="34"/>
  <c r="E18" i="38" s="1"/>
  <c r="C13" i="30" s="1"/>
  <c r="V7" i="34"/>
  <c r="J8" i="38" s="1"/>
  <c r="J24" i="38" s="1"/>
  <c r="M13" i="30"/>
  <c r="M5" i="30"/>
  <c r="M24" i="30"/>
  <c r="M12" i="30"/>
  <c r="J59" i="39"/>
  <c r="K59" i="39" s="1"/>
  <c r="M14" i="30"/>
  <c r="M19" i="30"/>
  <c r="M7" i="30"/>
  <c r="M11" i="30"/>
  <c r="M16" i="30"/>
  <c r="M20" i="30"/>
  <c r="M21" i="30"/>
  <c r="M8" i="30"/>
  <c r="M22" i="30"/>
  <c r="M25" i="30"/>
  <c r="M2" i="30"/>
  <c r="M17" i="30"/>
  <c r="M9" i="30"/>
  <c r="M3" i="30"/>
  <c r="M15" i="30"/>
  <c r="M4" i="30"/>
  <c r="M23" i="30"/>
  <c r="M6" i="30"/>
  <c r="M18" i="30"/>
  <c r="M10" i="30"/>
  <c r="I18" i="30"/>
  <c r="I22" i="30"/>
  <c r="I14" i="30"/>
  <c r="R37" i="38"/>
  <c r="R38" i="38" s="1"/>
  <c r="I5" i="30"/>
  <c r="I9" i="30"/>
  <c r="I15" i="30"/>
  <c r="I16" i="30"/>
  <c r="I24" i="30"/>
  <c r="I3" i="30"/>
  <c r="I21" i="30"/>
  <c r="I8" i="30"/>
  <c r="I13" i="30"/>
  <c r="I19" i="30"/>
  <c r="I23" i="30"/>
  <c r="I11" i="30"/>
  <c r="I2" i="30"/>
  <c r="I6" i="30"/>
  <c r="I10" i="30"/>
  <c r="I20" i="30"/>
  <c r="I7" i="30"/>
  <c r="I25" i="30"/>
  <c r="I17" i="30"/>
  <c r="I12" i="30"/>
  <c r="I4" i="30"/>
  <c r="E31" i="38" l="1"/>
  <c r="J61" i="38" s="1"/>
  <c r="K61" i="38" s="1"/>
  <c r="J64" i="38" s="1"/>
  <c r="Q5" i="38" s="1"/>
  <c r="J13" i="38"/>
  <c r="G12" i="30"/>
  <c r="G5" i="30"/>
  <c r="G24" i="30"/>
  <c r="G2" i="30"/>
  <c r="G19" i="30"/>
  <c r="G16" i="30"/>
  <c r="G3" i="30"/>
  <c r="G7" i="30"/>
  <c r="G17" i="30"/>
  <c r="G21" i="30"/>
  <c r="G13" i="30"/>
  <c r="G4" i="30"/>
  <c r="G8" i="30"/>
  <c r="G25" i="30"/>
  <c r="G22" i="30"/>
  <c r="G14" i="30"/>
  <c r="G6" i="30"/>
  <c r="G9" i="30"/>
  <c r="G15" i="30"/>
  <c r="G20" i="30"/>
  <c r="G23" i="30"/>
  <c r="G10" i="30"/>
  <c r="J58" i="38"/>
  <c r="K58" i="38" s="1"/>
  <c r="G11" i="30"/>
  <c r="G18" i="30"/>
  <c r="N22" i="30"/>
  <c r="N4" i="30"/>
  <c r="N2" i="30"/>
  <c r="N12" i="30"/>
  <c r="N5" i="30"/>
  <c r="N3" i="30"/>
  <c r="N17" i="30"/>
  <c r="N19" i="30"/>
  <c r="N9" i="30"/>
  <c r="N14" i="30"/>
  <c r="N20" i="30"/>
  <c r="N7" i="30"/>
  <c r="N23" i="30"/>
  <c r="N15" i="30"/>
  <c r="N21" i="30"/>
  <c r="N10" i="30"/>
  <c r="N16" i="30"/>
  <c r="N24" i="30"/>
  <c r="N11" i="30"/>
  <c r="N25" i="30"/>
  <c r="N18" i="30"/>
  <c r="N8" i="30"/>
  <c r="N13" i="30"/>
  <c r="N6" i="30"/>
  <c r="J58" i="39"/>
  <c r="K58" i="39" s="1"/>
  <c r="J63" i="39" s="1"/>
  <c r="Q6" i="39" s="1"/>
</calcChain>
</file>

<file path=xl/sharedStrings.xml><?xml version="1.0" encoding="utf-8"?>
<sst xmlns="http://schemas.openxmlformats.org/spreadsheetml/2006/main" count="2775" uniqueCount="533">
  <si>
    <t>Sample Information</t>
  </si>
  <si>
    <t>Sample No.</t>
  </si>
  <si>
    <t>Sample ID</t>
  </si>
  <si>
    <t xml:space="preserve">POS Control </t>
  </si>
  <si>
    <t>Human Male DNA 10ng/uL</t>
  </si>
  <si>
    <t>S1</t>
  </si>
  <si>
    <t>S2</t>
  </si>
  <si>
    <t>S3</t>
  </si>
  <si>
    <t>S4</t>
  </si>
  <si>
    <t>S5</t>
  </si>
  <si>
    <t>S6</t>
  </si>
  <si>
    <t>A</t>
  </si>
  <si>
    <t>B</t>
  </si>
  <si>
    <t>C</t>
  </si>
  <si>
    <t>D</t>
  </si>
  <si>
    <t>E</t>
  </si>
  <si>
    <t>F</t>
  </si>
  <si>
    <t>G</t>
  </si>
  <si>
    <t>H</t>
  </si>
  <si>
    <t>NTC</t>
  </si>
  <si>
    <t>Component</t>
  </si>
  <si>
    <t>Supplier</t>
  </si>
  <si>
    <t>Cat. No.</t>
  </si>
  <si>
    <t>Lot No.</t>
  </si>
  <si>
    <t>Thermofisher</t>
  </si>
  <si>
    <t>RNase P Primer-Probe (FAM)</t>
  </si>
  <si>
    <t>1x</t>
  </si>
  <si>
    <t>G3041</t>
  </si>
  <si>
    <t>Step</t>
  </si>
  <si>
    <t>Temperature</t>
  </si>
  <si>
    <t>Time</t>
  </si>
  <si>
    <t>UNG Incubation</t>
  </si>
  <si>
    <t>50˚C</t>
  </si>
  <si>
    <t>Enzyme Activation</t>
  </si>
  <si>
    <t>95˚C</t>
  </si>
  <si>
    <t>60˚C</t>
  </si>
  <si>
    <t>Cp</t>
  </si>
  <si>
    <t>Standard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</si>
  <si>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</si>
  <si>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</si>
  <si>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</si>
  <si>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</si>
  <si>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</si>
  <si>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</si>
  <si>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</si>
  <si>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</si>
  <si>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</si>
  <si>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</si>
  <si>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</si>
  <si>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</si>
  <si>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</si>
  <si>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</si>
  <si>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</si>
  <si>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</si>
  <si>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</si>
  <si>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</si>
  <si>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</si>
  <si>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</si>
  <si>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</si>
  <si>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</si>
  <si>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</si>
  <si>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</si>
  <si>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</si>
  <si>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</si>
  <si>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</si>
  <si>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</si>
  <si>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</si>
  <si>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</si>
  <si>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</si>
  <si>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</si>
  <si>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</si>
  <si>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</si>
  <si>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</si>
  <si>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</si>
  <si>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</si>
  <si>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</si>
  <si>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</si>
  <si>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</si>
  <si>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</si>
  <si>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</si>
  <si>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</si>
  <si>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</si>
  <si>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</si>
  <si>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</si>
  <si>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</si>
  <si>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</si>
  <si>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</si>
  <si>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</si>
  <si>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</si>
  <si>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</si>
  <si>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</si>
  <si>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</si>
  <si>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</si>
  <si>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</si>
  <si>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</si>
  <si>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</si>
  <si>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</si>
  <si>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</si>
  <si>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</si>
  <si>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</si>
  <si>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</si>
  <si>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</si>
  <si>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</si>
  <si>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</si>
  <si>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</si>
  <si>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</si>
  <si>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</si>
  <si>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</si>
  <si>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</si>
  <si>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</si>
  <si>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ΔCt</t>
  </si>
  <si>
    <t>PCR Efficiency Result</t>
  </si>
  <si>
    <t>R^2</t>
  </si>
  <si>
    <t>Results</t>
  </si>
  <si>
    <t>Acceptance Criteria</t>
  </si>
  <si>
    <t>85%-115%</t>
  </si>
  <si>
    <t>≥0.98</t>
  </si>
  <si>
    <t>Positive Control</t>
  </si>
  <si>
    <t>5ng/µL-15ng/µL</t>
  </si>
  <si>
    <t>Item</t>
  </si>
  <si>
    <t>Make</t>
  </si>
  <si>
    <t>Model</t>
  </si>
  <si>
    <t>Serial number</t>
  </si>
  <si>
    <t>Laminar Flow Cabinet</t>
  </si>
  <si>
    <t>StarLab</t>
  </si>
  <si>
    <t>GuardOne</t>
  </si>
  <si>
    <t>9206IL 200028</t>
  </si>
  <si>
    <t>PCR machine</t>
  </si>
  <si>
    <t>Mini Vortexer</t>
  </si>
  <si>
    <t>Heathrow Scientific</t>
  </si>
  <si>
    <t>HSA09547</t>
  </si>
  <si>
    <t>MiniSpin</t>
  </si>
  <si>
    <t xml:space="preserve">Eppendorf </t>
  </si>
  <si>
    <t>Various</t>
  </si>
  <si>
    <t>5452HR504062.</t>
  </si>
  <si>
    <t>Axygen Plate Centrifuge</t>
  </si>
  <si>
    <t>Corning</t>
  </si>
  <si>
    <t>BioShaker iQ</t>
  </si>
  <si>
    <t>Qinstrument</t>
  </si>
  <si>
    <t>N/A</t>
  </si>
  <si>
    <t>Experiment Aims</t>
  </si>
  <si>
    <t>Equipment Used</t>
  </si>
  <si>
    <t>Asset #</t>
  </si>
  <si>
    <t>Operator:</t>
  </si>
  <si>
    <t>Sample Barcode/ID</t>
  </si>
  <si>
    <t>Note: Throughout workbook, editable fields are denoted by yellow highlighting.</t>
  </si>
  <si>
    <t>Reagents Used</t>
  </si>
  <si>
    <t>Human Genomic DNA</t>
  </si>
  <si>
    <t>Promega</t>
  </si>
  <si>
    <t>PCR Standard Curve Preparation</t>
  </si>
  <si>
    <t>Human DNA Male - 10ng/µL</t>
  </si>
  <si>
    <t>Master Mix Calculations</t>
  </si>
  <si>
    <t>Stock Conc.</t>
  </si>
  <si>
    <t>Reaction Conc.</t>
  </si>
  <si>
    <t>Number of Samples:</t>
  </si>
  <si>
    <t>2x</t>
  </si>
  <si>
    <t>20x</t>
  </si>
  <si>
    <t># Cycles</t>
  </si>
  <si>
    <t>Denaturation</t>
  </si>
  <si>
    <t>Anneal/Extension</t>
  </si>
  <si>
    <t>2 Minutes</t>
  </si>
  <si>
    <t>Per Well (uL)</t>
  </si>
  <si>
    <t>Totals:</t>
  </si>
  <si>
    <t>PCR1</t>
  </si>
  <si>
    <t>PCR2</t>
  </si>
  <si>
    <t>Mean Conc. (ng/mL)</t>
  </si>
  <si>
    <t>Mean Cp</t>
  </si>
  <si>
    <t>Tabulated Averages</t>
  </si>
  <si>
    <t>Standard Curve Breakdown</t>
  </si>
  <si>
    <t>Actual Results</t>
  </si>
  <si>
    <t>Expected Results</t>
  </si>
  <si>
    <t>Mean Cp*</t>
  </si>
  <si>
    <t>*Based on the Following:</t>
  </si>
  <si>
    <t>Standard Curve Analysis</t>
  </si>
  <si>
    <t>Cp 2</t>
  </si>
  <si>
    <t>Cp 3</t>
  </si>
  <si>
    <t>Cp 1</t>
  </si>
  <si>
    <t>Full Actual Results</t>
  </si>
  <si>
    <t>Graphical Representation</t>
  </si>
  <si>
    <t>-</t>
  </si>
  <si>
    <t>= Y-intercept</t>
  </si>
  <si>
    <t>Plot Analysis:</t>
  </si>
  <si>
    <t>= Slope</t>
  </si>
  <si>
    <t>= PCR Efficiency</t>
  </si>
  <si>
    <t>= %PCR Efficiency</t>
  </si>
  <si>
    <t>= R Squared</t>
  </si>
  <si>
    <t>Criteria</t>
  </si>
  <si>
    <t>Acceptance Range</t>
  </si>
  <si>
    <t>Pass/Fail?</t>
  </si>
  <si>
    <t>Passed Acceptance Criteria? =</t>
  </si>
  <si>
    <r>
      <rPr>
        <sz val="11"/>
        <color theme="1"/>
        <rFont val="Calibri"/>
        <family val="2"/>
        <scheme val="minor"/>
      </rPr>
      <t>Human Genomic DNA Stock Concentration</t>
    </r>
    <r>
      <rPr>
        <b/>
        <sz val="11"/>
        <color theme="1"/>
        <rFont val="Calibri"/>
        <family val="2"/>
        <scheme val="minor"/>
      </rPr>
      <t xml:space="preserve"> (µg/mL):</t>
    </r>
  </si>
  <si>
    <t>Previous Dilution</t>
  </si>
  <si>
    <t>Volumes Required (uL)</t>
  </si>
  <si>
    <t>Diluent (TE Buffer)</t>
  </si>
  <si>
    <t>Final Concentration (pg/µl or ng/mL)</t>
  </si>
  <si>
    <t>4.50 (S1)</t>
  </si>
  <si>
    <t>4.50 (S2)</t>
  </si>
  <si>
    <t>4.50 (S3)</t>
  </si>
  <si>
    <t>4.50 (S4)</t>
  </si>
  <si>
    <t>4.50 (S5)</t>
  </si>
  <si>
    <t>Total*</t>
  </si>
  <si>
    <t>Optimal (Theoretical) Standard Curve:</t>
  </si>
  <si>
    <t>Calculations for Standard Curve Preparation:</t>
  </si>
  <si>
    <t>-&gt; 1 Genome = 0.00646246ng</t>
  </si>
  <si>
    <t>p20 pipette has mininum changeable unit of 0.02 leading to very small changes in concentration. This is factored in to produce above table.</t>
  </si>
  <si>
    <t>*Prior to using 4.5uL to prepare the next sequential standard.</t>
  </si>
  <si>
    <t>Note:</t>
  </si>
  <si>
    <t>PCR1 or PCR2?:</t>
  </si>
  <si>
    <t>Options</t>
  </si>
  <si>
    <t>Introduction of new experiment report file</t>
  </si>
  <si>
    <t>New procedure</t>
  </si>
  <si>
    <t>Revision</t>
  </si>
  <si>
    <t>Change Detail</t>
  </si>
  <si>
    <t>Rationale</t>
  </si>
  <si>
    <t>Standards / Controls (uL)</t>
  </si>
  <si>
    <t>Total Required* (uL)</t>
  </si>
  <si>
    <t>Required</t>
  </si>
  <si>
    <t>(+10%)</t>
  </si>
  <si>
    <t>PCR2 Means</t>
  </si>
  <si>
    <t>PCR1 Means</t>
  </si>
  <si>
    <t>Conc. (ng/mL)</t>
  </si>
  <si>
    <t>1/10 Cp</t>
  </si>
  <si>
    <t>Conc. (ng/mL)*</t>
  </si>
  <si>
    <t>*Actual Sample Concentration, Calculated as 10x LightCycler Output</t>
  </si>
  <si>
    <t>Conditional Formatting Key</t>
  </si>
  <si>
    <t>Standard 1</t>
  </si>
  <si>
    <t>Standard 2</t>
  </si>
  <si>
    <t>Standard 3</t>
  </si>
  <si>
    <t>Standard 4</t>
  </si>
  <si>
    <t>Standard 5</t>
  </si>
  <si>
    <t>Standard 6</t>
  </si>
  <si>
    <t>NEG Control</t>
  </si>
  <si>
    <t>POS Control</t>
  </si>
  <si>
    <t>Workbook Assumed Sample Positions/Layout</t>
  </si>
  <si>
    <t xml:space="preserve"> </t>
  </si>
  <si>
    <r>
      <t>Log Conc.</t>
    </r>
    <r>
      <rPr>
        <sz val="11"/>
        <color theme="1"/>
        <rFont val="Calibri"/>
        <family val="2"/>
        <scheme val="minor"/>
      </rPr>
      <t>*</t>
    </r>
  </si>
  <si>
    <t>*Based on Expected Concentration</t>
  </si>
  <si>
    <t>Ct/Cp ≥ 38</t>
  </si>
  <si>
    <t>POS</t>
  </si>
  <si>
    <t>Cp too High/Conc too Low to Accurately Quantify</t>
  </si>
  <si>
    <t>Cp too Low/Conc too High, Requires Repeat with Dilution in PCR2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</si>
  <si>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</si>
  <si>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</si>
  <si>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</si>
  <si>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</si>
  <si>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</si>
  <si>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</si>
  <si>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</si>
  <si>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</si>
  <si>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</si>
  <si>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</si>
  <si>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</si>
  <si>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</si>
  <si>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</si>
  <si>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</si>
  <si>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</si>
  <si>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</si>
  <si>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</si>
  <si>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</si>
  <si>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</si>
  <si>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</si>
  <si>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</si>
  <si>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</si>
  <si>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</si>
  <si>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</si>
  <si>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Standards</t>
  </si>
  <si>
    <t>Plate Map</t>
  </si>
  <si>
    <t>Sample</t>
  </si>
  <si>
    <t>Cp1</t>
  </si>
  <si>
    <t>Cp2</t>
  </si>
  <si>
    <t>Cp3</t>
  </si>
  <si>
    <t>Promega Used (uL):</t>
  </si>
  <si>
    <t>Promega Conc. (ug/mL):</t>
  </si>
  <si>
    <t>Cps</t>
  </si>
  <si>
    <t>Std. 1</t>
  </si>
  <si>
    <t>Std. 2</t>
  </si>
  <si>
    <t>Std. 3</t>
  </si>
  <si>
    <t>Std. 4</t>
  </si>
  <si>
    <t>Std. 5</t>
  </si>
  <si>
    <t>Std. 6</t>
  </si>
  <si>
    <t>HuMale</t>
  </si>
  <si>
    <t>Samples</t>
  </si>
  <si>
    <t>-&gt; 'InputGenomeCopies' = [Sample in Reaction (uL)*Conc(ng/uL)]/[Genome Mass(ng)]</t>
  </si>
  <si>
    <t>Text</t>
  </si>
  <si>
    <t>Concentrations</t>
  </si>
  <si>
    <t>LC Conc. Mean</t>
  </si>
  <si>
    <t>LC Concs?</t>
  </si>
  <si>
    <t>Calculated Mean Concs:</t>
  </si>
  <si>
    <t>Mean Conc. (ng/mL)*</t>
  </si>
  <si>
    <t>Conc. Used:</t>
  </si>
  <si>
    <t>-&gt; Formula "Predicted Cp = LOG(((3.6*(10^11))/'InputGenomeCopies'),2)"</t>
  </si>
  <si>
    <t>Cp = ('Slope'*'LogConc')+'Y-Intercept'</t>
  </si>
  <si>
    <t>Conc (ng/mL) = 10^(('Mean Cp'-'Y-Intercept')/'Slope')</t>
  </si>
  <si>
    <t>SEM</t>
  </si>
  <si>
    <t>NF-Water</t>
  </si>
  <si>
    <t>Calculated Mean Conc. (ng/mL)</t>
  </si>
  <si>
    <t>Added new tabs for processing of data from the QuantStudio</t>
  </si>
  <si>
    <t>Raw data files from the LightCycler and QuantStudio have different formats, meaning that the pre-existing formulas were incompatible with the QuantStudio files.</t>
  </si>
  <si>
    <t>*Total Required Including Standards</t>
  </si>
  <si>
    <t>TE Buffer/NF-Water</t>
  </si>
  <si>
    <t>Fisher Scientific</t>
  </si>
  <si>
    <t>Human DNA Male</t>
  </si>
  <si>
    <t>Date:</t>
  </si>
  <si>
    <t>Cycling Conditions on PCR machine</t>
  </si>
  <si>
    <t>Cp SEM</t>
  </si>
  <si>
    <t>Cp too Low/Conc too High, Result may be Unreliable</t>
  </si>
  <si>
    <t>SEM too High to be reliable, Investigate Individual Cps</t>
  </si>
  <si>
    <t>AppliedBiosystems</t>
  </si>
  <si>
    <t>QuantStudio 1</t>
  </si>
  <si>
    <t>TaqMan® Fast Advanced Master Mix (5x5mL)</t>
  </si>
  <si>
    <t>TaqMan® Gene Expression Assay (750rxns)*</t>
  </si>
  <si>
    <t>Microbial Community DNA Standard (2000ng)</t>
  </si>
  <si>
    <t>ZymoBIOMICS</t>
  </si>
  <si>
    <t>D6306</t>
  </si>
  <si>
    <t>Nuclease free water or suitable alternative</t>
  </si>
  <si>
    <t>TE (1X) buffer (pH8.0) or suitable alternative</t>
  </si>
  <si>
    <t>Roche</t>
  </si>
  <si>
    <t>LightCycler 480 II, 96</t>
  </si>
  <si>
    <t>Theoretical Concentration (pg/µl)</t>
  </si>
  <si>
    <t>2.00 (S1)</t>
  </si>
  <si>
    <t>2.00 (S2)</t>
  </si>
  <si>
    <t>2.00 (S3)</t>
  </si>
  <si>
    <t>2.00 (S4)</t>
  </si>
  <si>
    <t>2.00 (S5)</t>
  </si>
  <si>
    <t>*Prior to using 2uL to prepare the next sequential standard.</t>
  </si>
  <si>
    <t>For the NTC, add the diluent used for these standards</t>
  </si>
  <si>
    <t xml:space="preserve">RNase P Standard Curve Preparation </t>
  </si>
  <si>
    <t xml:space="preserve">16S Standard Curve Preparation </t>
  </si>
  <si>
    <t>Final Concentration (pg/µL or ng/mL)</t>
  </si>
  <si>
    <t>16.00 (Stock)</t>
  </si>
  <si>
    <t>1 (1 in 20)</t>
  </si>
  <si>
    <t>2 (1 in 20)</t>
  </si>
  <si>
    <t>3 (1 in 20)</t>
  </si>
  <si>
    <t>4 (1 in 20)</t>
  </si>
  <si>
    <t>5 (1 in 20)</t>
  </si>
  <si>
    <t>6 (1 in 20)</t>
  </si>
  <si>
    <t>7 (1 in 20)</t>
  </si>
  <si>
    <t>8 (1 in 20)</t>
  </si>
  <si>
    <t>9 (1 in 20)</t>
  </si>
  <si>
    <t>10 (1 in 20)</t>
  </si>
  <si>
    <t>11 (1 in 20)</t>
  </si>
  <si>
    <t>12 (1 in 20)</t>
  </si>
  <si>
    <t>13 (1 in 20)</t>
  </si>
  <si>
    <t>14 (1 in 20)</t>
  </si>
  <si>
    <t>15 (1 in 20)</t>
  </si>
  <si>
    <t>16 (1 in 20)</t>
  </si>
  <si>
    <t>17 (1 in 20)</t>
  </si>
  <si>
    <t>18 (1 in 20)</t>
  </si>
  <si>
    <t>19 (1 in 20)</t>
  </si>
  <si>
    <t>20 (1 in 20)</t>
  </si>
  <si>
    <t>21 (1 in 20)</t>
  </si>
  <si>
    <t>22 (1 in 20)</t>
  </si>
  <si>
    <t>23 (1 in 20)</t>
  </si>
  <si>
    <t>24 (1 in 20)</t>
  </si>
  <si>
    <t>Fast Advanced Master Mix</t>
  </si>
  <si>
    <t>20 Seconds</t>
  </si>
  <si>
    <t>1 Second</t>
  </si>
  <si>
    <t>16S Primer-Probe (VIC)</t>
  </si>
  <si>
    <t>Dilute Microbial Community DNA Standard to a Concentration of 20000ng/mL Prior to Preparing Curve - This is added as the First Standard</t>
  </si>
  <si>
    <t>Cps FAM</t>
  </si>
  <si>
    <t>Cps VIC</t>
  </si>
  <si>
    <t>Standards FAM</t>
  </si>
  <si>
    <t>Samples FAM</t>
  </si>
  <si>
    <t xml:space="preserve">Standards VIC </t>
  </si>
  <si>
    <t xml:space="preserve">Samples VIC </t>
  </si>
  <si>
    <t xml:space="preserve">RNase P Mean CP </t>
  </si>
  <si>
    <t>RNase P CP SEM</t>
  </si>
  <si>
    <t xml:space="preserve">16S Mean CP </t>
  </si>
  <si>
    <t>16S CP SEM</t>
  </si>
  <si>
    <t>RNase P R^2</t>
  </si>
  <si>
    <t>RNase P % PCR Efficiency</t>
  </si>
  <si>
    <t>RNase P Y-Intercept</t>
  </si>
  <si>
    <t>RNase P Slope</t>
  </si>
  <si>
    <t>16S R^2</t>
  </si>
  <si>
    <t>16S % PCR Efficiency</t>
  </si>
  <si>
    <t>16S Y-Intercept</t>
  </si>
  <si>
    <t>16S Slope</t>
  </si>
  <si>
    <t>Fast Advanced MM Lot</t>
  </si>
  <si>
    <t>RNase P Primer Probe Lot</t>
  </si>
  <si>
    <t>Promega Lot</t>
  </si>
  <si>
    <t>Human DNA Male Lot</t>
  </si>
  <si>
    <t>16S Primer Probe Lot</t>
  </si>
  <si>
    <t>Microbial Community Standard Lot</t>
  </si>
  <si>
    <t>NF-water Lot</t>
  </si>
  <si>
    <t>Asset ID</t>
  </si>
  <si>
    <t>Batch ID</t>
  </si>
  <si>
    <t>Batch ID:</t>
  </si>
  <si>
    <t>Conc. (ng/μL)*</t>
  </si>
  <si>
    <t>&gt;35.5</t>
  </si>
  <si>
    <r>
      <rPr>
        <vertAlign val="superscript"/>
        <sz val="9"/>
        <color theme="1"/>
        <rFont val="Aptos Narrow"/>
        <family val="2"/>
      </rPr>
      <t>◊</t>
    </r>
    <r>
      <rPr>
        <i/>
        <sz val="9"/>
        <color theme="1"/>
        <rFont val="Calibri"/>
        <family val="2"/>
        <scheme val="minor"/>
      </rPr>
      <t>Actual Sample Concentration, Calculated as 100x LightCycler Output</t>
    </r>
  </si>
  <si>
    <t>Cp ≥ 35.5</t>
  </si>
  <si>
    <t>RNase P Concentration (ng/μL)</t>
  </si>
  <si>
    <t>16S Concentration (ng/μL)</t>
  </si>
  <si>
    <t>QIAGEN</t>
  </si>
  <si>
    <t>00131</t>
  </si>
  <si>
    <t>Y-intercept</t>
  </si>
  <si>
    <t>Plot Analysis</t>
  </si>
  <si>
    <t>40 ± 2.5%</t>
  </si>
  <si>
    <t>28 ± 2.5%</t>
  </si>
  <si>
    <t>Combined RNase P and 16S experiment report files</t>
  </si>
  <si>
    <t>Plate Layout for qPCR</t>
  </si>
  <si>
    <t>Standards Plated in Triplicate, Test Samples (1-24) Plated in Triplicate and Diluted 1 in 20:</t>
  </si>
  <si>
    <t>0000636473</t>
  </si>
  <si>
    <t>P250904-011-F09</t>
  </si>
  <si>
    <t>DEN078</t>
  </si>
  <si>
    <t>KP</t>
  </si>
  <si>
    <t>DEN078 Rnase P-16s qPCR</t>
  </si>
  <si>
    <t>PD005745RME2_D_Hu_01</t>
  </si>
  <si>
    <t>PD005599RME1_D_Hu_01</t>
  </si>
  <si>
    <t>PD005595RME1_D_Hu_01</t>
  </si>
  <si>
    <t>PD005590RME1_D_Hu_01</t>
  </si>
  <si>
    <t>PD005585RME1_D_Hu_01</t>
  </si>
  <si>
    <t>PD005594RME1_D_Hu_01</t>
  </si>
  <si>
    <t>PD005593RME1_D_Hu_01</t>
  </si>
  <si>
    <t>PD005592RME1_D_Hu_01</t>
  </si>
  <si>
    <t>PD005584RME1_D_Hu_01</t>
  </si>
  <si>
    <t>PD005578RME1_D_Hu_01</t>
  </si>
  <si>
    <t>PD005575RME1_D_Hu_01</t>
  </si>
  <si>
    <t>PD005572RME1_D_Hu_01</t>
  </si>
  <si>
    <t>PD005571RME1_D_Hu_01</t>
  </si>
  <si>
    <t>PD005568RME1_D_Hu_01</t>
  </si>
  <si>
    <t>PD005565RME1_D_Hu_01</t>
  </si>
  <si>
    <t>PD005564RME4_D_Hu_01</t>
  </si>
  <si>
    <t>PD005563RME1_D_Hu_01</t>
  </si>
  <si>
    <t>PD005562RME1_D_Hu_01</t>
  </si>
  <si>
    <t>PD005561RME1_D_Hu_01</t>
  </si>
  <si>
    <t>PD005558RME1_D_Hu_01</t>
  </si>
  <si>
    <t>PD005557RME1_D_Hu_01</t>
  </si>
  <si>
    <t>PD005556RME1_D_Hu_01</t>
  </si>
  <si>
    <t>DEN078-POS_D_Hu_01</t>
  </si>
  <si>
    <t>DEN078-NEG_D_Hu_01</t>
  </si>
  <si>
    <t>* Block Type = 96-Well 0.2-mL Block</t>
  </si>
  <si>
    <t>* Calibration Background is expired  = No</t>
  </si>
  <si>
    <t>* Calibration Background performed on = 11-18-2025</t>
  </si>
  <si>
    <t>* Calibration Pure Dye ABY is expired = No</t>
  </si>
  <si>
    <t>* Calibration Pure Dye ABY performed on = 11-18-2025</t>
  </si>
  <si>
    <t>* Calibration Pure Dye FAM is expired = No</t>
  </si>
  <si>
    <t>* Calibration Pure Dye FAM performed on = 11-18-2025</t>
  </si>
  <si>
    <t>* Calibration Pure Dye JUN is expired = No</t>
  </si>
  <si>
    <t>* Calibration Pure Dye JUN performed on = 11-18-2025</t>
  </si>
  <si>
    <t>* Calibration Pure Dye ROX is expired = No</t>
  </si>
  <si>
    <t>* Calibration Pure Dye ROX performed on = 11-18-2025</t>
  </si>
  <si>
    <t>* Calibration Pure Dye SYBR is expired = No</t>
  </si>
  <si>
    <t>* Calibration Pure Dye SYBR performed on = 11-18-2025</t>
  </si>
  <si>
    <t>* Calibration Pure Dye VIC is expired = No</t>
  </si>
  <si>
    <t>* Calibration Pure Dye VIC performed on = 11-18-2025</t>
  </si>
  <si>
    <t>* Calibration ROI is expired  = No</t>
  </si>
  <si>
    <t>* Calibration ROI performed on = 11-18-2025</t>
  </si>
  <si>
    <t>* Calibration Uniformity is expired  = No</t>
  </si>
  <si>
    <t>* Calibration Uniformity performed on = 11-18-2025</t>
  </si>
  <si>
    <t>* Chemistry = TAQMAN</t>
  </si>
  <si>
    <t>* Date Created = 2025-12-01 16:54:21 PM GMT</t>
  </si>
  <si>
    <t>* Experiment Barcode = NA</t>
  </si>
  <si>
    <t>* Experiment Comment = NA</t>
  </si>
  <si>
    <t>* Experiment File Name = D:\Users\Administrator\experiments\TRIOMIC RNase P-16S duplex SOP-101 v1\DEN078\2025-11-05_095412_DEN078_RNaseP-16S.eds</t>
  </si>
  <si>
    <t>* Experiment Name = 2025-11-05_095412_DEN078_RNaseP-16S</t>
  </si>
  <si>
    <t>* Experiment Run End Time = 2025-12-01 17:27:18 PM GMT</t>
  </si>
  <si>
    <t>* Experiment Type = Standard Curve</t>
  </si>
  <si>
    <t>* Instrument Name =       2721224090023</t>
  </si>
  <si>
    <t>* Instrument Serial Number = 2721224090023</t>
  </si>
  <si>
    <t>* Instrument Type = QuantStudio™ 1 System</t>
  </si>
  <si>
    <t>* Passive Reference = ROX</t>
  </si>
  <si>
    <t xml:space="preserve">* Post-read Stage/Step = </t>
  </si>
  <si>
    <t xml:space="preserve">* Pre-read Stage/Step = </t>
  </si>
  <si>
    <t>* Quantification Cycle Method = Ct</t>
  </si>
  <si>
    <t>* Signal Smoothing On = true</t>
  </si>
  <si>
    <t>* Stage/ Cycle where Ct Analysis is performed = Stage2, Step2</t>
  </si>
  <si>
    <t>* User Name = NA</t>
  </si>
  <si>
    <t>[Results]</t>
  </si>
  <si>
    <t>Well</t>
  </si>
  <si>
    <t>Well Position</t>
  </si>
  <si>
    <t>Omit</t>
  </si>
  <si>
    <t>Sample Name</t>
  </si>
  <si>
    <t>Target Name</t>
  </si>
  <si>
    <t>Task</t>
  </si>
  <si>
    <t>Reporter</t>
  </si>
  <si>
    <t>Quencher</t>
  </si>
  <si>
    <t>CT</t>
  </si>
  <si>
    <t>Ct Mean</t>
  </si>
  <si>
    <t>Ct SD</t>
  </si>
  <si>
    <t>Quantity</t>
  </si>
  <si>
    <t>Quantity Mean</t>
  </si>
  <si>
    <t>Quantity SD</t>
  </si>
  <si>
    <t>Y-Intercept</t>
  </si>
  <si>
    <t>R(superscript 2)</t>
  </si>
  <si>
    <t>Slope</t>
  </si>
  <si>
    <t>Efficiency</t>
  </si>
  <si>
    <t>Automatic Ct Threshold</t>
  </si>
  <si>
    <t>Ct Threshold</t>
  </si>
  <si>
    <t>Automatic Baseline</t>
  </si>
  <si>
    <t>Baseline Start</t>
  </si>
  <si>
    <t>Baseline End</t>
  </si>
  <si>
    <t>Amp Status</t>
  </si>
  <si>
    <t>Comments</t>
  </si>
  <si>
    <t>Cq Conf</t>
  </si>
  <si>
    <t>CQCONF</t>
  </si>
  <si>
    <t>EXPFAIL</t>
  </si>
  <si>
    <t>HIGHSD</t>
  </si>
  <si>
    <t>Target 1</t>
  </si>
  <si>
    <t>UNKNOWN</t>
  </si>
  <si>
    <t>FAM</t>
  </si>
  <si>
    <t>NFQ-MGB</t>
  </si>
  <si>
    <t>Amp</t>
  </si>
  <si>
    <t>N</t>
  </si>
  <si>
    <t>Target 2</t>
  </si>
  <si>
    <t>VIC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</si>
  <si>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</si>
  <si>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</si>
  <si>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</si>
  <si>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</si>
  <si>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</si>
  <si>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</si>
  <si>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</si>
  <si>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</si>
  <si>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</si>
  <si>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</si>
  <si>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</si>
  <si>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</si>
  <si>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Y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</si>
  <si>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</si>
  <si>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</si>
  <si>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</si>
  <si>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</si>
  <si>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</si>
  <si>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</si>
  <si>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</si>
  <si>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</si>
  <si>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</si>
  <si>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Undetermined</t>
  </si>
  <si>
    <t>No Amp</t>
  </si>
  <si>
    <t>Sample 8</t>
  </si>
  <si>
    <t>Sample 16</t>
  </si>
  <si>
    <t>Sample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</si>
</sst>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9"/>
      <color theme="1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Protection="1">
      <protection locked="0"/>
    </xf>
    <xf numFmtId="0" fontId="4" fillId="0" borderId="0" xfId="0" applyFon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right"/>
    </xf>
    <xf numFmtId="2" fontId="0" fillId="0" borderId="1" xfId="0" applyNumberFormat="1" applyBorder="1" applyAlignment="1">
      <alignment horizontal="center" vertical="center"/>
    </xf>
    <xf numFmtId="0" fontId="0" fillId="0" borderId="0" xfId="0" quotePrefix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0" fontId="1" fillId="0" borderId="0" xfId="0" applyFont="1" applyAlignment="1">
      <alignment horizontal="center"/>
    </xf>
    <xf numFmtId="0" fontId="0" fillId="3" borderId="1" xfId="0" applyFill="1" applyBorder="1" applyProtection="1"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2" fontId="0" fillId="5" borderId="0" xfId="0" applyNumberFormat="1" applyFill="1" applyAlignment="1">
      <alignment horizontal="center"/>
    </xf>
    <xf numFmtId="2" fontId="13" fillId="4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7" xfId="0" applyFont="1" applyBorder="1" applyAlignment="1">
      <alignment horizontal="left"/>
    </xf>
    <xf numFmtId="0" fontId="15" fillId="0" borderId="0" xfId="0" quotePrefix="1" applyFont="1" applyAlignment="1">
      <alignment horizontal="left"/>
    </xf>
    <xf numFmtId="0" fontId="14" fillId="0" borderId="0" xfId="0" quotePrefix="1" applyFont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34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9" fillId="0" borderId="0" xfId="0" applyFon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0" fontId="2" fillId="0" borderId="0" xfId="0" applyFont="1"/>
    <xf numFmtId="0" fontId="10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4" fillId="0" borderId="0" xfId="0" applyFont="1"/>
    <xf numFmtId="0" fontId="3" fillId="0" borderId="0" xfId="0" quotePrefix="1" applyFont="1"/>
    <xf numFmtId="0" fontId="6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0" xfId="0" quotePrefix="1" applyFont="1"/>
    <xf numFmtId="0" fontId="1" fillId="0" borderId="1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2" fontId="0" fillId="0" borderId="1" xfId="0" quotePrefix="1" applyNumberFormat="1" applyBorder="1" applyAlignment="1">
      <alignment horizontal="center" vertical="center"/>
    </xf>
    <xf numFmtId="0" fontId="0" fillId="0" borderId="40" xfId="0" applyBorder="1"/>
    <xf numFmtId="2" fontId="16" fillId="0" borderId="39" xfId="0" applyNumberFormat="1" applyFont="1" applyBorder="1" applyAlignment="1">
      <alignment horizontal="center"/>
    </xf>
    <xf numFmtId="0" fontId="5" fillId="7" borderId="0" xfId="0" applyFont="1" applyFill="1" applyAlignment="1">
      <alignment horizontal="center"/>
    </xf>
    <xf numFmtId="14" fontId="0" fillId="3" borderId="0" xfId="0" applyNumberFormat="1" applyFill="1" applyAlignment="1" applyProtection="1">
      <alignment horizontal="center"/>
      <protection locked="0"/>
    </xf>
    <xf numFmtId="2" fontId="0" fillId="0" borderId="0" xfId="0" applyNumberFormat="1"/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quotePrefix="1" applyFont="1" applyFill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/>
    </xf>
    <xf numFmtId="0" fontId="5" fillId="3" borderId="1" xfId="0" quotePrefix="1" applyFont="1" applyFill="1" applyBorder="1" applyAlignment="1" applyProtection="1">
      <alignment horizontal="center"/>
      <protection locked="0"/>
    </xf>
    <xf numFmtId="0" fontId="1" fillId="6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/>
    </xf>
    <xf numFmtId="0" fontId="18" fillId="3" borderId="0" xfId="0" applyFont="1" applyFill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" fontId="5" fillId="3" borderId="1" xfId="0" quotePrefix="1" applyNumberFormat="1" applyFont="1" applyFill="1" applyBorder="1" applyAlignment="1" applyProtection="1">
      <alignment horizontal="center" vertical="center"/>
      <protection locked="0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22" xfId="0" applyFont="1" applyFill="1" applyBorder="1" applyAlignment="1" applyProtection="1">
      <alignment horizontal="center" vertical="center"/>
      <protection locked="0"/>
    </xf>
    <xf numFmtId="0" fontId="8" fillId="0" borderId="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2" xfId="0" applyFont="1" applyBorder="1" applyAlignment="1">
      <alignment horizontal="center"/>
    </xf>
  </cellXfs>
  <cellStyles count="1">
    <cellStyle name="Normal" xfId="0" builtinId="0"/>
  </cellStyles>
  <dxfs count="2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 val="0"/>
        <color rgb="FFFF0000"/>
      </font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7" tint="0.39994506668294322"/>
        </patternFill>
      </fill>
    </dxf>
    <dxf>
      <font>
        <b val="0"/>
        <i val="0"/>
        <strike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 patternType="none">
          <bgColor auto="1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 val="0"/>
        <i val="0"/>
        <strike val="0"/>
      </font>
      <fill>
        <patternFill>
          <bgColor theme="5" tint="0.39994506668294322"/>
        </patternFill>
      </fill>
    </dxf>
    <dxf>
      <font>
        <b val="0"/>
        <i val="0"/>
        <strike/>
      </font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strike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 val="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 val="0"/>
        <i val="0"/>
      </font>
      <fill>
        <patternFill>
          <bgColor theme="7" tint="0.39994506668294322"/>
        </patternFill>
      </fill>
    </dxf>
    <dxf>
      <font>
        <b val="0"/>
        <i val="0"/>
        <strike/>
      </font>
      <fill>
        <patternFill>
          <bgColor rgb="FFFF00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</dxfs>
  <tableStyles count="0" defaultTableStyle="TableStyleMedium2" defaultPivotStyle="PivotStyleMedium9"/>
  <colors>
    <mruColors>
      <color rgb="FFC777AC"/>
      <color rgb="FFCC4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RNase P qPCR Standards</a:t>
            </a:r>
            <a:r>
              <a:rPr lang="en-GB" baseline="0"/>
              <a:t> Logarithmic Plot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Cps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642094893973712E-2"/>
                  <c:y val="0.252976792323495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'LC Analysis'!$N$23:$N$28</c:f>
              <c:numCache>
                <c:formatCode>0.000</c:formatCode>
                <c:ptCount val="6"/>
                <c:pt idx="0">
                  <c:v>5.1762649421141465</c:v>
                </c:pt>
                <c:pt idx="1">
                  <c:v>4.5284474602255083</c:v>
                </c:pt>
                <c:pt idx="2">
                  <c:v>3.880629978336871</c:v>
                </c:pt>
                <c:pt idx="3">
                  <c:v>3.2328124964482337</c:v>
                </c:pt>
                <c:pt idx="4">
                  <c:v>2.5849950145595963</c:v>
                </c:pt>
                <c:pt idx="5">
                  <c:v>1.9371775326709586</c:v>
                </c:pt>
              </c:numCache>
            </c:numRef>
          </c:xVal>
          <c:yVal>
            <c:numRef>
              <c:f>'LC Analysis'!$L$23:$L$28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A-4BD6-BC19-25D59621151D}"/>
            </c:ext>
          </c:extLst>
        </c:ser>
        <c:ser>
          <c:idx val="1"/>
          <c:order val="1"/>
          <c:tx>
            <c:v>Cp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'LC Analysis'!$N$23:$N$28</c:f>
              <c:numCache>
                <c:formatCode>0.000</c:formatCode>
                <c:ptCount val="6"/>
                <c:pt idx="0">
                  <c:v>5.1762649421141465</c:v>
                </c:pt>
                <c:pt idx="1">
                  <c:v>4.5284474602255083</c:v>
                </c:pt>
                <c:pt idx="2">
                  <c:v>3.880629978336871</c:v>
                </c:pt>
                <c:pt idx="3">
                  <c:v>3.2328124964482337</c:v>
                </c:pt>
                <c:pt idx="4">
                  <c:v>2.5849950145595963</c:v>
                </c:pt>
                <c:pt idx="5">
                  <c:v>1.9371775326709586</c:v>
                </c:pt>
              </c:numCache>
            </c:numRef>
          </c:xVal>
          <c:yVal>
            <c:numRef>
              <c:f>'LC Analysis'!$R$23:$R$28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6A-4BD6-BC19-25D59621151D}"/>
            </c:ext>
          </c:extLst>
        </c:ser>
        <c:ser>
          <c:idx val="2"/>
          <c:order val="2"/>
          <c:tx>
            <c:v>Cp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'LC Analysis'!$N$23:$N$28</c:f>
              <c:numCache>
                <c:formatCode>0.000</c:formatCode>
                <c:ptCount val="6"/>
                <c:pt idx="0">
                  <c:v>5.1762649421141465</c:v>
                </c:pt>
                <c:pt idx="1">
                  <c:v>4.5284474602255083</c:v>
                </c:pt>
                <c:pt idx="2">
                  <c:v>3.880629978336871</c:v>
                </c:pt>
                <c:pt idx="3">
                  <c:v>3.2328124964482337</c:v>
                </c:pt>
                <c:pt idx="4">
                  <c:v>2.5849950145595963</c:v>
                </c:pt>
                <c:pt idx="5">
                  <c:v>1.9371775326709586</c:v>
                </c:pt>
              </c:numCache>
            </c:numRef>
          </c:xVal>
          <c:yVal>
            <c:numRef>
              <c:f>'LC Analysis'!$S$23:$S$28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6A-4BD6-BC19-25D59621151D}"/>
            </c:ext>
          </c:extLst>
        </c:ser>
        <c:ser>
          <c:idx val="3"/>
          <c:order val="3"/>
          <c:tx>
            <c:v>Cp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'LC Analysis'!$N$23:$N$28</c:f>
              <c:numCache>
                <c:formatCode>0.000</c:formatCode>
                <c:ptCount val="6"/>
                <c:pt idx="0">
                  <c:v>5.1762649421141465</c:v>
                </c:pt>
                <c:pt idx="1">
                  <c:v>4.5284474602255083</c:v>
                </c:pt>
                <c:pt idx="2">
                  <c:v>3.880629978336871</c:v>
                </c:pt>
                <c:pt idx="3">
                  <c:v>3.2328124964482337</c:v>
                </c:pt>
                <c:pt idx="4">
                  <c:v>2.5849950145595963</c:v>
                </c:pt>
                <c:pt idx="5">
                  <c:v>1.9371775326709586</c:v>
                </c:pt>
              </c:numCache>
            </c:numRef>
          </c:xVal>
          <c:yVal>
            <c:numRef>
              <c:f>'LC Analysis'!$T$23:$T$28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6A-4BD6-BC19-25D596211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85104"/>
        <c:axId val="682686768"/>
      </c:scatterChart>
      <c:valAx>
        <c:axId val="6826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6768"/>
        <c:crosses val="autoZero"/>
        <c:crossBetween val="midCat"/>
      </c:valAx>
      <c:valAx>
        <c:axId val="6826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RNase P qPCR Standards</a:t>
            </a:r>
            <a:r>
              <a:rPr lang="en-GB" baseline="0"/>
              <a:t> Logarithmic Plot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Cps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339886083421066E-2"/>
                  <c:y val="-0.11361932865777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'QS RNase P Analysis'!$K$23:$K$28</c:f>
              <c:numCache>
                <c:formatCode>0.000</c:formatCode>
                <c:ptCount val="6"/>
                <c:pt idx="0">
                  <c:v>5.1762707303533544</c:v>
                </c:pt>
                <c:pt idx="1">
                  <c:v>4.5284532484647171</c:v>
                </c:pt>
                <c:pt idx="2">
                  <c:v>3.8806357665760793</c:v>
                </c:pt>
                <c:pt idx="3">
                  <c:v>3.232818284687442</c:v>
                </c:pt>
                <c:pt idx="4">
                  <c:v>2.5850008027988043</c:v>
                </c:pt>
                <c:pt idx="5">
                  <c:v>1.937183320910167</c:v>
                </c:pt>
              </c:numCache>
            </c:numRef>
          </c:xVal>
          <c:yVal>
            <c:numRef>
              <c:f>'QS RNase P Analysis'!$I$23:$I$28</c:f>
              <c:numCache>
                <c:formatCode>0.00</c:formatCode>
                <c:ptCount val="6"/>
                <c:pt idx="0">
                  <c:v>21.935666666666666</c:v>
                </c:pt>
                <c:pt idx="1">
                  <c:v>24.007000000000001</c:v>
                </c:pt>
                <c:pt idx="2">
                  <c:v>26.228999999999999</c:v>
                </c:pt>
                <c:pt idx="3">
                  <c:v>28.544</c:v>
                </c:pt>
                <c:pt idx="4">
                  <c:v>30.928666666666668</c:v>
                </c:pt>
                <c:pt idx="5">
                  <c:v>33.204000000000001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4-411F-AEF9-1771F1E19FB2}"/>
            </c:ext>
          </c:extLst>
        </c:ser>
        <c:ser>
          <c:idx val="1"/>
          <c:order val="1"/>
          <c:tx>
            <c:v>Cp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'QS RNase P Analysis'!$K$23:$K$28</c:f>
              <c:numCache>
                <c:formatCode>0.000</c:formatCode>
                <c:ptCount val="6"/>
                <c:pt idx="0">
                  <c:v>5.1762707303533544</c:v>
                </c:pt>
                <c:pt idx="1">
                  <c:v>4.5284532484647171</c:v>
                </c:pt>
                <c:pt idx="2">
                  <c:v>3.8806357665760793</c:v>
                </c:pt>
                <c:pt idx="3">
                  <c:v>3.232818284687442</c:v>
                </c:pt>
                <c:pt idx="4">
                  <c:v>2.5850008027988043</c:v>
                </c:pt>
                <c:pt idx="5">
                  <c:v>1.937183320910167</c:v>
                </c:pt>
              </c:numCache>
            </c:numRef>
          </c:xVal>
          <c:yVal>
            <c:numRef>
              <c:f>'QS RNase P Analysis'!$O$23:$O$28</c:f>
              <c:numCache>
                <c:formatCode>0.00</c:formatCode>
                <c:ptCount val="6"/>
                <c:pt idx="0">
                  <c:v>21.844000000000001</c:v>
                </c:pt>
                <c:pt idx="1">
                  <c:v>24.036000000000001</c:v>
                </c:pt>
                <c:pt idx="2">
                  <c:v>26.28</c:v>
                </c:pt>
                <c:pt idx="3">
                  <c:v>28.527000000000001</c:v>
                </c:pt>
                <c:pt idx="4">
                  <c:v>30.902000000000001</c:v>
                </c:pt>
                <c:pt idx="5">
                  <c:v>33.328000000000003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74-411F-AEF9-1771F1E19FB2}"/>
            </c:ext>
          </c:extLst>
        </c:ser>
        <c:ser>
          <c:idx val="2"/>
          <c:order val="2"/>
          <c:tx>
            <c:v>Cp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'QS RNase P Analysis'!$K$23:$K$28</c:f>
              <c:numCache>
                <c:formatCode>0.000</c:formatCode>
                <c:ptCount val="6"/>
                <c:pt idx="0">
                  <c:v>5.1762707303533544</c:v>
                </c:pt>
                <c:pt idx="1">
                  <c:v>4.5284532484647171</c:v>
                </c:pt>
                <c:pt idx="2">
                  <c:v>3.8806357665760793</c:v>
                </c:pt>
                <c:pt idx="3">
                  <c:v>3.232818284687442</c:v>
                </c:pt>
                <c:pt idx="4">
                  <c:v>2.5850008027988043</c:v>
                </c:pt>
                <c:pt idx="5">
                  <c:v>1.937183320910167</c:v>
                </c:pt>
              </c:numCache>
            </c:numRef>
          </c:xVal>
          <c:yVal>
            <c:numRef>
              <c:f>'QS RNase P Analysis'!$P$23:$P$28</c:f>
              <c:numCache>
                <c:formatCode>0.00</c:formatCode>
                <c:ptCount val="6"/>
                <c:pt idx="0">
                  <c:v>21.873999999999999</c:v>
                </c:pt>
                <c:pt idx="1">
                  <c:v>24.010999999999999</c:v>
                </c:pt>
                <c:pt idx="2">
                  <c:v>26.151</c:v>
                </c:pt>
                <c:pt idx="3">
                  <c:v>28.664999999999999</c:v>
                </c:pt>
                <c:pt idx="4">
                  <c:v>30.93</c:v>
                </c:pt>
                <c:pt idx="5">
                  <c:v>33.005000000000003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74-411F-AEF9-1771F1E19FB2}"/>
            </c:ext>
          </c:extLst>
        </c:ser>
        <c:ser>
          <c:idx val="3"/>
          <c:order val="3"/>
          <c:tx>
            <c:v>Cp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'QS RNase P Analysis'!$K$23:$K$28</c:f>
              <c:numCache>
                <c:formatCode>0.000</c:formatCode>
                <c:ptCount val="6"/>
                <c:pt idx="0">
                  <c:v>5.1762707303533544</c:v>
                </c:pt>
                <c:pt idx="1">
                  <c:v>4.5284532484647171</c:v>
                </c:pt>
                <c:pt idx="2">
                  <c:v>3.8806357665760793</c:v>
                </c:pt>
                <c:pt idx="3">
                  <c:v>3.232818284687442</c:v>
                </c:pt>
                <c:pt idx="4">
                  <c:v>2.5850008027988043</c:v>
                </c:pt>
                <c:pt idx="5">
                  <c:v>1.937183320910167</c:v>
                </c:pt>
              </c:numCache>
            </c:numRef>
          </c:xVal>
          <c:yVal>
            <c:numRef>
              <c:f>'QS RNase P Analysis'!$Q$23:$Q$28</c:f>
              <c:numCache>
                <c:formatCode>0.00</c:formatCode>
                <c:ptCount val="6"/>
                <c:pt idx="0">
                  <c:v>22.088999999999999</c:v>
                </c:pt>
                <c:pt idx="1">
                  <c:v>23.974</c:v>
                </c:pt>
                <c:pt idx="2">
                  <c:v>26.256</c:v>
                </c:pt>
                <c:pt idx="3">
                  <c:v>28.44</c:v>
                </c:pt>
                <c:pt idx="4">
                  <c:v>30.954000000000001</c:v>
                </c:pt>
                <c:pt idx="5">
                  <c:v>33.279000000000003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74-411F-AEF9-1771F1E19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85104"/>
        <c:axId val="682686768"/>
      </c:scatterChart>
      <c:valAx>
        <c:axId val="6826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6768"/>
        <c:crosses val="autoZero"/>
        <c:crossBetween val="midCat"/>
      </c:valAx>
      <c:valAx>
        <c:axId val="6826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16S qPCR Standards</a:t>
            </a:r>
            <a:r>
              <a:rPr lang="en-GB" baseline="0"/>
              <a:t> Logarithmic Plot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Mean Cps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147525538325567E-2"/>
                  <c:y val="-0.11922969631454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'QS 16S Analysis'!$K$23:$K$28</c:f>
              <c:numCache>
                <c:formatCode>0.000</c:formatCode>
                <c:ptCount val="6"/>
                <c:pt idx="0">
                  <c:v>4.3010299956639813</c:v>
                </c:pt>
                <c:pt idx="1">
                  <c:v>3.3979400086720375</c:v>
                </c:pt>
                <c:pt idx="2">
                  <c:v>2.4948500216800942</c:v>
                </c:pt>
                <c:pt idx="3">
                  <c:v>1.5917322389518356</c:v>
                </c:pt>
                <c:pt idx="4">
                  <c:v>0.68841982200271057</c:v>
                </c:pt>
                <c:pt idx="5">
                  <c:v>-0.21467016498923297</c:v>
                </c:pt>
              </c:numCache>
            </c:numRef>
          </c:xVal>
          <c:yVal>
            <c:numRef>
              <c:f>'QS 16S Analysis'!$I$7:$I$12</c:f>
              <c:numCache>
                <c:formatCode>0.00</c:formatCode>
                <c:ptCount val="6"/>
                <c:pt idx="0">
                  <c:v>13.128333333333332</c:v>
                </c:pt>
                <c:pt idx="1">
                  <c:v>16.201999999999998</c:v>
                </c:pt>
                <c:pt idx="2">
                  <c:v>19.678666666666668</c:v>
                </c:pt>
                <c:pt idx="3">
                  <c:v>22.935000000000002</c:v>
                </c:pt>
                <c:pt idx="4">
                  <c:v>26.08666666666667</c:v>
                </c:pt>
                <c:pt idx="5">
                  <c:v>29.380333333333336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6-4145-B0E2-43FB1ED61933}"/>
            </c:ext>
          </c:extLst>
        </c:ser>
        <c:ser>
          <c:idx val="1"/>
          <c:order val="1"/>
          <c:tx>
            <c:v>Cp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'QS 16S Analysis'!$K$23:$K$28</c:f>
              <c:numCache>
                <c:formatCode>0.000</c:formatCode>
                <c:ptCount val="6"/>
                <c:pt idx="0">
                  <c:v>4.3010299956639813</c:v>
                </c:pt>
                <c:pt idx="1">
                  <c:v>3.3979400086720375</c:v>
                </c:pt>
                <c:pt idx="2">
                  <c:v>2.4948500216800942</c:v>
                </c:pt>
                <c:pt idx="3">
                  <c:v>1.5917322389518356</c:v>
                </c:pt>
                <c:pt idx="4">
                  <c:v>0.68841982200271057</c:v>
                </c:pt>
                <c:pt idx="5">
                  <c:v>-0.21467016498923297</c:v>
                </c:pt>
              </c:numCache>
            </c:numRef>
          </c:xVal>
          <c:yVal>
            <c:numRef>
              <c:f>'QS 16S Analysis'!$I$23:$I$28</c:f>
              <c:numCache>
                <c:formatCode>0.00</c:formatCode>
                <c:ptCount val="6"/>
                <c:pt idx="0">
                  <c:v>13.128333333333332</c:v>
                </c:pt>
                <c:pt idx="1">
                  <c:v>16.201999999999998</c:v>
                </c:pt>
                <c:pt idx="2">
                  <c:v>19.678666666666668</c:v>
                </c:pt>
                <c:pt idx="3">
                  <c:v>22.935000000000002</c:v>
                </c:pt>
                <c:pt idx="4">
                  <c:v>26.08666666666667</c:v>
                </c:pt>
                <c:pt idx="5">
                  <c:v>29.380333333333336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6-4145-B0E2-43FB1ED61933}"/>
            </c:ext>
          </c:extLst>
        </c:ser>
        <c:ser>
          <c:idx val="2"/>
          <c:order val="2"/>
          <c:tx>
            <c:v>Cp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'QS 16S Analysis'!$K$23:$K$28</c:f>
              <c:numCache>
                <c:formatCode>0.000</c:formatCode>
                <c:ptCount val="6"/>
                <c:pt idx="0">
                  <c:v>4.3010299956639813</c:v>
                </c:pt>
                <c:pt idx="1">
                  <c:v>3.3979400086720375</c:v>
                </c:pt>
                <c:pt idx="2">
                  <c:v>2.4948500216800942</c:v>
                </c:pt>
                <c:pt idx="3">
                  <c:v>1.5917322389518356</c:v>
                </c:pt>
                <c:pt idx="4">
                  <c:v>0.68841982200271057</c:v>
                </c:pt>
                <c:pt idx="5">
                  <c:v>-0.21467016498923297</c:v>
                </c:pt>
              </c:numCache>
            </c:numRef>
          </c:xVal>
          <c:yVal>
            <c:numRef>
              <c:f>'QS 16S Analysis'!$I$23:$I$28</c:f>
              <c:numCache>
                <c:formatCode>0.00</c:formatCode>
                <c:ptCount val="6"/>
                <c:pt idx="0">
                  <c:v>13.128333333333332</c:v>
                </c:pt>
                <c:pt idx="1">
                  <c:v>16.201999999999998</c:v>
                </c:pt>
                <c:pt idx="2">
                  <c:v>19.678666666666668</c:v>
                </c:pt>
                <c:pt idx="3">
                  <c:v>22.935000000000002</c:v>
                </c:pt>
                <c:pt idx="4">
                  <c:v>26.08666666666667</c:v>
                </c:pt>
                <c:pt idx="5">
                  <c:v>29.380333333333336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6-4145-B0E2-43FB1ED61933}"/>
            </c:ext>
          </c:extLst>
        </c:ser>
        <c:ser>
          <c:idx val="3"/>
          <c:order val="3"/>
          <c:tx>
            <c:v>Cp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'QS 16S Analysis'!$K$23:$K$28</c:f>
              <c:numCache>
                <c:formatCode>0.000</c:formatCode>
                <c:ptCount val="6"/>
                <c:pt idx="0">
                  <c:v>4.3010299956639813</c:v>
                </c:pt>
                <c:pt idx="1">
                  <c:v>3.3979400086720375</c:v>
                </c:pt>
                <c:pt idx="2">
                  <c:v>2.4948500216800942</c:v>
                </c:pt>
                <c:pt idx="3">
                  <c:v>1.5917322389518356</c:v>
                </c:pt>
                <c:pt idx="4">
                  <c:v>0.68841982200271057</c:v>
                </c:pt>
                <c:pt idx="5">
                  <c:v>-0.21467016498923297</c:v>
                </c:pt>
              </c:numCache>
            </c:numRef>
          </c:xVal>
          <c:yVal>
            <c:numRef>
              <c:f>'QS 16S Analysis'!$I$23:$I$28</c:f>
              <c:numCache>
                <c:formatCode>0.00</c:formatCode>
                <c:ptCount val="6"/>
                <c:pt idx="0">
                  <c:v>13.128333333333332</c:v>
                </c:pt>
                <c:pt idx="1">
                  <c:v>16.201999999999998</c:v>
                </c:pt>
                <c:pt idx="2">
                  <c:v>19.678666666666668</c:v>
                </c:pt>
                <c:pt idx="3">
                  <c:v>22.935000000000002</c:v>
                </c:pt>
                <c:pt idx="4">
                  <c:v>26.08666666666667</c:v>
                </c:pt>
                <c:pt idx="5">
                  <c:v>29.380333333333336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6-4145-B0E2-43FB1ED61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685104"/>
        <c:axId val="682686768"/>
      </c:scatterChart>
      <c:valAx>
        <c:axId val="6826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Concentration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6768"/>
        <c:crosses val="autoZero"/>
        <c:crossBetween val="midCat"/>
      </c:valAx>
      <c:valAx>
        <c:axId val="6826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85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594177</xdr:colOff>
      <xdr:row>31</xdr:row>
      <xdr:rowOff>7254</xdr:rowOff>
    </xdr:from>
    <xdr:to>
      <xdr:col>20</xdr:col>
      <xdr:colOff>18142</xdr:colOff>
      <xdr:row>52</xdr:row>
      <xdr:rowOff>54426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986BC1-BF39-E68C-6053-52E827C2F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975177</xdr:colOff>
      <xdr:row>30</xdr:row>
      <xdr:rowOff>185054</xdr:rowOff>
    </xdr:from>
    <xdr:to>
      <xdr:col>16</xdr:col>
      <xdr:colOff>526142</xdr:colOff>
      <xdr:row>52</xdr:row>
      <xdr:rowOff>41726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03541-2433-434D-8D98-1A5FEA272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606877</xdr:colOff>
      <xdr:row>31</xdr:row>
      <xdr:rowOff>21167</xdr:rowOff>
    </xdr:from>
    <xdr:to>
      <xdr:col>16</xdr:col>
      <xdr:colOff>31750</xdr:colOff>
      <xdr:row>50</xdr:row>
      <xdr:rowOff>162376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BEB37-49BD-40E4-934E-E338D08EB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iginsciences-my.sharepoint.com/personal/tom_scullion_originsciences_com/Documents/Microsoft%20Teams%20Chat%20Files/FRM-69-01%20Microbial%20qPCR%20Experiment%20Report%20File%20v2.xlsx" TargetMode="External"/><Relationship Id="rId1" Type="http://schemas.openxmlformats.org/officeDocument/2006/relationships/externalLinkPath" Target="/personal/tom_scullion_originsciences_com/Documents/Microsoft%20Teams%20Chat%20Files/FRM-69-01%20Microbial%20qPCR%20Experiment%20Report%20File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 Overview"/>
      <sheetName val="Sample List"/>
      <sheetName val="Standards"/>
      <sheetName val="qPCR Setup"/>
      <sheetName val="LC Raw Results"/>
      <sheetName val="LC Calculations"/>
      <sheetName val="LC Analysis"/>
      <sheetName val="QS Raw Results"/>
      <sheetName val="QS Calculations"/>
      <sheetName val="QS Analysis"/>
      <sheetName val="Export Prep"/>
      <sheetName val="Result Export"/>
      <sheetName val="Revision History"/>
    </sheetNames>
    <sheetDataSet>
      <sheetData sheetId="0"/>
      <sheetData sheetId="1">
        <row r="30">
          <cell r="B30" t="str">
            <v>NEG Control</v>
          </cell>
          <cell r="C30" t="str">
            <v>NF-Water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CC7F7-E099-4E20-97E6-53B9DEFDD28B}">
  <sheetPr codeName="Sheet1">
    <pageSetUpPr fitToPage="1"/>
  </sheetPr>
  <dimension ref="A1:O28"/>
  <sheetViews>
    <sheetView zoomScale="91" zoomScaleNormal="80" workbookViewId="0">
      <selection activeCell="B6" sqref="B6"/>
    </sheetView>
  </sheetViews>
  <sheetFormatPr defaultRowHeight="14.5"/>
  <cols>
    <col min="1" max="1" width="11.81640625" bestFit="1" customWidth="1"/>
    <col min="2" max="2" width="10.81640625" bestFit="1" customWidth="1"/>
    <col min="10" max="12" width="12.7265625" customWidth="1"/>
    <col min="13" max="13" width="13.81640625" bestFit="1" customWidth="1"/>
    <col min="14" max="14" width="8.81640625" bestFit="1" customWidth="1"/>
    <col min="15" max="15" width="15.54296875" bestFit="1" customWidth="1"/>
  </cols>
  <sheetData>
    <row r="1" spans="1:15" s="7" customFormat="1">
      <c r="A1" s="7" t="str">
        <f>IF('LC Raw Results'!A2&gt;1, RIGHT('LC Raw Results'!A2, LEN('LC Raw Results'!A2)-12), IF('QS Raw Results'!A25&gt;1, INDEX(_xlfn.TEXTSPLIT('QS Raw Results'!A25,"\"),1,7), "Paste Results File into Cell A2 of LC Raw Results or QS Raw Results"))</f>
        <v>2025-11-05_095412_DEN078_RNaseP-16S.eds</v>
      </c>
    </row>
    <row r="3" spans="1:15">
      <c r="B3" s="10" t="s">
        <v>140</v>
      </c>
      <c r="J3" s="10" t="s">
        <v>146</v>
      </c>
    </row>
    <row r="5" spans="1:15">
      <c r="A5" s="1">
        <v>1</v>
      </c>
      <c r="B5" s="19" t="s">
        <v>406</v>
      </c>
      <c r="J5" s="107" t="s">
        <v>20</v>
      </c>
      <c r="K5" s="108"/>
      <c r="L5" s="109"/>
      <c r="M5" s="56" t="s">
        <v>21</v>
      </c>
      <c r="N5" s="56" t="s">
        <v>22</v>
      </c>
      <c r="O5" s="56" t="s">
        <v>23</v>
      </c>
    </row>
    <row r="6" spans="1:15">
      <c r="A6" s="1">
        <v>2</v>
      </c>
      <c r="B6" s="19"/>
      <c r="J6" s="110" t="s">
        <v>309</v>
      </c>
      <c r="K6" s="111"/>
      <c r="L6" s="112"/>
      <c r="M6" s="84" t="s">
        <v>300</v>
      </c>
      <c r="N6" s="84">
        <v>13438456</v>
      </c>
      <c r="O6" s="84">
        <v>4444554</v>
      </c>
    </row>
    <row r="7" spans="1:15">
      <c r="A7" s="1">
        <v>3</v>
      </c>
      <c r="B7" s="19"/>
      <c r="J7" s="110" t="s">
        <v>25</v>
      </c>
      <c r="K7" s="111"/>
      <c r="L7" s="112"/>
      <c r="M7" s="84" t="s">
        <v>24</v>
      </c>
      <c r="N7" s="84">
        <v>4316831</v>
      </c>
      <c r="O7" s="84">
        <v>3245729</v>
      </c>
    </row>
    <row r="8" spans="1:15">
      <c r="A8" s="1">
        <v>4</v>
      </c>
      <c r="B8" s="19"/>
      <c r="J8" s="110" t="s">
        <v>147</v>
      </c>
      <c r="K8" s="111"/>
      <c r="L8" s="112"/>
      <c r="M8" s="84" t="s">
        <v>148</v>
      </c>
      <c r="N8" s="84" t="s">
        <v>27</v>
      </c>
      <c r="O8" s="85" t="s">
        <v>402</v>
      </c>
    </row>
    <row r="9" spans="1:15">
      <c r="A9" s="1">
        <v>5</v>
      </c>
      <c r="B9" s="19"/>
      <c r="J9" s="110" t="s">
        <v>301</v>
      </c>
      <c r="K9" s="111"/>
      <c r="L9" s="112"/>
      <c r="M9" s="84" t="s">
        <v>24</v>
      </c>
      <c r="N9" s="84">
        <v>360486</v>
      </c>
      <c r="O9" s="84">
        <v>3106717</v>
      </c>
    </row>
    <row r="10" spans="1:15">
      <c r="A10" s="1">
        <v>6</v>
      </c>
      <c r="B10" s="19"/>
      <c r="J10" s="110" t="s">
        <v>310</v>
      </c>
      <c r="K10" s="111"/>
      <c r="L10" s="112"/>
      <c r="M10" s="84" t="s">
        <v>300</v>
      </c>
      <c r="N10" s="84">
        <v>11957021</v>
      </c>
      <c r="O10" s="84" t="s">
        <v>403</v>
      </c>
    </row>
    <row r="11" spans="1:15">
      <c r="A11" s="1">
        <v>7</v>
      </c>
      <c r="B11" s="19"/>
      <c r="J11" s="110" t="s">
        <v>311</v>
      </c>
      <c r="K11" s="111"/>
      <c r="L11" s="112"/>
      <c r="M11" s="84" t="s">
        <v>312</v>
      </c>
      <c r="N11" s="84" t="s">
        <v>313</v>
      </c>
      <c r="O11" s="84">
        <v>24027229</v>
      </c>
    </row>
    <row r="12" spans="1:15">
      <c r="J12" s="110" t="s">
        <v>314</v>
      </c>
      <c r="K12" s="111"/>
      <c r="L12" s="112"/>
      <c r="M12" s="84" t="s">
        <v>393</v>
      </c>
      <c r="N12" s="84">
        <v>1039498</v>
      </c>
      <c r="O12" s="84" t="s">
        <v>139</v>
      </c>
    </row>
    <row r="13" spans="1:15">
      <c r="A13" s="1" t="s">
        <v>386</v>
      </c>
      <c r="B13" s="20" t="s">
        <v>404</v>
      </c>
      <c r="J13" s="110" t="s">
        <v>315</v>
      </c>
      <c r="K13" s="111"/>
      <c r="L13" s="112"/>
      <c r="M13" s="84" t="s">
        <v>300</v>
      </c>
      <c r="N13" s="84">
        <v>10224683</v>
      </c>
      <c r="O13" s="84">
        <v>250226</v>
      </c>
    </row>
    <row r="14" spans="1:15">
      <c r="A14" s="1" t="s">
        <v>143</v>
      </c>
      <c r="B14" s="82" t="s">
        <v>405</v>
      </c>
    </row>
    <row r="15" spans="1:15">
      <c r="A15" s="1" t="s">
        <v>302</v>
      </c>
      <c r="B15" s="82">
        <v>45992</v>
      </c>
    </row>
    <row r="17" spans="2:12">
      <c r="B17" s="10" t="s">
        <v>141</v>
      </c>
    </row>
    <row r="19" spans="2:12">
      <c r="B19" s="76" t="s">
        <v>142</v>
      </c>
      <c r="C19" s="104" t="s">
        <v>119</v>
      </c>
      <c r="D19" s="104"/>
      <c r="E19" s="104"/>
      <c r="F19" s="104"/>
      <c r="G19" s="104" t="s">
        <v>120</v>
      </c>
      <c r="H19" s="104"/>
      <c r="I19" s="113" t="s">
        <v>121</v>
      </c>
      <c r="J19" s="114"/>
      <c r="K19" s="104" t="s">
        <v>122</v>
      </c>
      <c r="L19" s="104"/>
    </row>
    <row r="20" spans="2:12">
      <c r="B20" s="21">
        <v>60</v>
      </c>
      <c r="C20" s="99" t="s">
        <v>123</v>
      </c>
      <c r="D20" s="99"/>
      <c r="E20" s="99"/>
      <c r="F20" s="99"/>
      <c r="G20" s="99" t="s">
        <v>124</v>
      </c>
      <c r="H20" s="99"/>
      <c r="I20" s="102" t="s">
        <v>125</v>
      </c>
      <c r="J20" s="103"/>
      <c r="K20" s="101" t="s">
        <v>126</v>
      </c>
      <c r="L20" s="101"/>
    </row>
    <row r="21" spans="2:12">
      <c r="B21" s="87" t="s">
        <v>394</v>
      </c>
      <c r="C21" s="99" t="s">
        <v>127</v>
      </c>
      <c r="D21" s="99"/>
      <c r="E21" s="99"/>
      <c r="F21" s="99"/>
      <c r="G21" s="99" t="s">
        <v>307</v>
      </c>
      <c r="H21" s="99"/>
      <c r="I21" s="102" t="s">
        <v>308</v>
      </c>
      <c r="J21" s="103"/>
      <c r="K21" s="105">
        <v>2721224090023</v>
      </c>
      <c r="L21" s="106"/>
    </row>
    <row r="22" spans="2:12">
      <c r="B22" s="21">
        <v>64</v>
      </c>
      <c r="C22" s="99" t="s">
        <v>127</v>
      </c>
      <c r="D22" s="99"/>
      <c r="E22" s="99"/>
      <c r="F22" s="99"/>
      <c r="G22" s="99" t="s">
        <v>316</v>
      </c>
      <c r="H22" s="99"/>
      <c r="I22" s="102" t="s">
        <v>317</v>
      </c>
      <c r="J22" s="103"/>
      <c r="K22" s="100">
        <v>32258</v>
      </c>
      <c r="L22" s="100"/>
    </row>
    <row r="23" spans="2:12">
      <c r="B23" s="21">
        <v>73</v>
      </c>
      <c r="C23" s="99" t="s">
        <v>128</v>
      </c>
      <c r="D23" s="99"/>
      <c r="E23" s="99"/>
      <c r="F23" s="99"/>
      <c r="G23" s="99" t="s">
        <v>129</v>
      </c>
      <c r="H23" s="99"/>
      <c r="I23" s="102">
        <v>120567</v>
      </c>
      <c r="J23" s="103"/>
      <c r="K23" s="100" t="s">
        <v>130</v>
      </c>
      <c r="L23" s="100"/>
    </row>
    <row r="24" spans="2:12">
      <c r="B24" s="21">
        <v>74</v>
      </c>
      <c r="C24" s="99" t="s">
        <v>131</v>
      </c>
      <c r="D24" s="99"/>
      <c r="E24" s="99"/>
      <c r="F24" s="99"/>
      <c r="G24" s="99" t="s">
        <v>132</v>
      </c>
      <c r="H24" s="99"/>
      <c r="I24" s="102" t="s">
        <v>133</v>
      </c>
      <c r="J24" s="103"/>
      <c r="K24" s="101" t="s">
        <v>134</v>
      </c>
      <c r="L24" s="101"/>
    </row>
    <row r="25" spans="2:12">
      <c r="B25" s="21">
        <v>98</v>
      </c>
      <c r="C25" s="99" t="s">
        <v>135</v>
      </c>
      <c r="D25" s="99"/>
      <c r="E25" s="99"/>
      <c r="F25" s="99"/>
      <c r="G25" s="99" t="s">
        <v>136</v>
      </c>
      <c r="H25" s="99"/>
      <c r="I25" s="102" t="s">
        <v>133</v>
      </c>
      <c r="J25" s="103"/>
      <c r="K25" s="100">
        <v>22132009</v>
      </c>
      <c r="L25" s="100"/>
    </row>
    <row r="26" spans="2:12">
      <c r="B26" s="21">
        <v>89</v>
      </c>
      <c r="C26" s="99" t="s">
        <v>137</v>
      </c>
      <c r="D26" s="99"/>
      <c r="E26" s="99"/>
      <c r="F26" s="99"/>
      <c r="G26" s="99" t="s">
        <v>138</v>
      </c>
      <c r="H26" s="99"/>
      <c r="I26" s="102" t="s">
        <v>137</v>
      </c>
      <c r="J26" s="103"/>
      <c r="K26" s="100">
        <v>26656</v>
      </c>
      <c r="L26" s="100"/>
    </row>
    <row r="27" spans="2:12">
      <c r="B27" s="51"/>
      <c r="C27" s="51"/>
      <c r="D27" s="51"/>
      <c r="E27" s="51"/>
      <c r="F27" s="51"/>
    </row>
    <row r="28" spans="2:12">
      <c r="B28" s="10" t="s">
        <v>145</v>
      </c>
    </row>
  </sheetData>
  <sheetProtection algorithmName="SHA-512" hashValue="2J4UeqlbIUnbyg8+vsLdjGSCrB7W13qW6YCqLrH/1uTaGDdKnR0/55mQC6J6IH6VK8Ocmy1jVXFr2Fg0pUXNwA==" saltValue="eqlkG3igaEhNEDtUp3BhrQ==" spinCount="100000" sheet="1" objects="1" scenarios="1"/>
  <mergeCells count="41">
    <mergeCell ref="I22:J22"/>
    <mergeCell ref="K22:L22"/>
    <mergeCell ref="J13:L13"/>
    <mergeCell ref="J7:L7"/>
    <mergeCell ref="J6:L6"/>
    <mergeCell ref="J5:L5"/>
    <mergeCell ref="J8:L8"/>
    <mergeCell ref="K19:L19"/>
    <mergeCell ref="J9:L9"/>
    <mergeCell ref="I19:J19"/>
    <mergeCell ref="J10:L10"/>
    <mergeCell ref="J11:L11"/>
    <mergeCell ref="J12:L12"/>
    <mergeCell ref="C23:F23"/>
    <mergeCell ref="C21:F21"/>
    <mergeCell ref="C20:F20"/>
    <mergeCell ref="C19:F19"/>
    <mergeCell ref="K20:L20"/>
    <mergeCell ref="K23:L23"/>
    <mergeCell ref="K21:L21"/>
    <mergeCell ref="G23:H23"/>
    <mergeCell ref="G21:H21"/>
    <mergeCell ref="G20:H20"/>
    <mergeCell ref="G19:H19"/>
    <mergeCell ref="I23:J23"/>
    <mergeCell ref="I21:J21"/>
    <mergeCell ref="I20:J20"/>
    <mergeCell ref="C22:F22"/>
    <mergeCell ref="G22:H22"/>
    <mergeCell ref="C25:F25"/>
    <mergeCell ref="C24:F24"/>
    <mergeCell ref="K25:L25"/>
    <mergeCell ref="K24:L24"/>
    <mergeCell ref="C26:F26"/>
    <mergeCell ref="G26:H26"/>
    <mergeCell ref="K26:L26"/>
    <mergeCell ref="I26:J26"/>
    <mergeCell ref="I25:J25"/>
    <mergeCell ref="I24:J24"/>
    <mergeCell ref="G25:H25"/>
    <mergeCell ref="G24:H24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256B-3C49-4BF6-8B63-82B8EFE70B98}">
  <sheetPr codeName="Sheet2"/>
  <dimension ref="A1:R31"/>
  <sheetViews>
    <sheetView zoomScale="80" zoomScaleNormal="80" workbookViewId="0">
      <selection activeCell="I22" sqref="I22"/>
    </sheetView>
  </sheetViews>
  <sheetFormatPr defaultRowHeight="14.5"/>
  <cols>
    <col min="2" max="2" width="14" style="4" customWidth="1"/>
    <col min="3" max="3" width="23.1796875" style="4" customWidth="1"/>
  </cols>
  <sheetData>
    <row r="1" spans="1:18">
      <c r="A1" s="7" t="str">
        <f>IF('LC Raw Results'!A2&gt;1, RIGHT('LC Raw Results'!A2, LEN('LC Raw Results'!A2)-12), IF('QS Raw Results'!A25&gt;1, INDEX(_xlfn.TEXTSPLIT('QS Raw Results'!A25,"\"),1,7), "Paste Results File into Cell A2 of LC Raw Results or QS Raw Results"))</f>
        <v>2025-11-05_095412_DEN078_RNaseP-16S.eds</v>
      </c>
    </row>
    <row r="2" spans="1:18">
      <c r="B2" s="7"/>
    </row>
    <row r="3" spans="1:18">
      <c r="B3" s="72" t="s">
        <v>0</v>
      </c>
      <c r="F3" s="10" t="s">
        <v>233</v>
      </c>
    </row>
    <row r="4" spans="1:18">
      <c r="B4" s="72"/>
    </row>
    <row r="5" spans="1:18">
      <c r="B5" s="54" t="s">
        <v>1</v>
      </c>
      <c r="C5" s="73" t="s">
        <v>144</v>
      </c>
      <c r="F5" s="57"/>
      <c r="G5" s="57">
        <v>1</v>
      </c>
      <c r="H5" s="57">
        <v>2</v>
      </c>
      <c r="I5" s="57">
        <v>3</v>
      </c>
      <c r="J5" s="57">
        <v>4</v>
      </c>
      <c r="K5" s="57">
        <v>5</v>
      </c>
      <c r="L5" s="57">
        <v>6</v>
      </c>
      <c r="M5" s="57">
        <v>7</v>
      </c>
      <c r="N5" s="57">
        <v>8</v>
      </c>
      <c r="O5" s="57">
        <v>9</v>
      </c>
      <c r="P5" s="57">
        <v>10</v>
      </c>
      <c r="Q5" s="57">
        <v>11</v>
      </c>
      <c r="R5" s="57">
        <v>12</v>
      </c>
    </row>
    <row r="6" spans="1:18">
      <c r="B6" s="74">
        <v>1</v>
      </c>
      <c r="C6" s="98" t="s">
        <v>407</v>
      </c>
      <c r="F6" s="57" t="s">
        <v>11</v>
      </c>
      <c r="G6" s="115" t="s">
        <v>225</v>
      </c>
      <c r="H6" s="115"/>
      <c r="I6" s="115"/>
      <c r="J6" s="115">
        <v>1</v>
      </c>
      <c r="K6" s="115"/>
      <c r="L6" s="115"/>
      <c r="M6" s="115">
        <v>9</v>
      </c>
      <c r="N6" s="115"/>
      <c r="O6" s="115"/>
      <c r="P6" s="115">
        <v>17</v>
      </c>
      <c r="Q6" s="115"/>
      <c r="R6" s="115"/>
    </row>
    <row r="7" spans="1:18">
      <c r="B7" s="74">
        <v>2</v>
      </c>
      <c r="C7" s="98" t="s">
        <v>408</v>
      </c>
      <c r="F7" s="57" t="s">
        <v>12</v>
      </c>
      <c r="G7" s="115" t="s">
        <v>226</v>
      </c>
      <c r="H7" s="115"/>
      <c r="I7" s="115"/>
      <c r="J7" s="115">
        <v>2</v>
      </c>
      <c r="K7" s="115"/>
      <c r="L7" s="115"/>
      <c r="M7" s="115">
        <v>10</v>
      </c>
      <c r="N7" s="115"/>
      <c r="O7" s="115"/>
      <c r="P7" s="115">
        <v>18</v>
      </c>
      <c r="Q7" s="115"/>
      <c r="R7" s="115"/>
    </row>
    <row r="8" spans="1:18">
      <c r="B8" s="74">
        <v>3</v>
      </c>
      <c r="C8" s="98" t="s">
        <v>409</v>
      </c>
      <c r="F8" s="57" t="s">
        <v>13</v>
      </c>
      <c r="G8" s="115" t="s">
        <v>227</v>
      </c>
      <c r="H8" s="115"/>
      <c r="I8" s="115"/>
      <c r="J8" s="115">
        <v>3</v>
      </c>
      <c r="K8" s="115"/>
      <c r="L8" s="115"/>
      <c r="M8" s="115">
        <v>11</v>
      </c>
      <c r="N8" s="115"/>
      <c r="O8" s="115"/>
      <c r="P8" s="115">
        <v>19</v>
      </c>
      <c r="Q8" s="115"/>
      <c r="R8" s="115"/>
    </row>
    <row r="9" spans="1:18">
      <c r="B9" s="74">
        <v>4</v>
      </c>
      <c r="C9" s="98" t="s">
        <v>410</v>
      </c>
      <c r="F9" s="57" t="s">
        <v>14</v>
      </c>
      <c r="G9" s="115" t="s">
        <v>228</v>
      </c>
      <c r="H9" s="115"/>
      <c r="I9" s="115"/>
      <c r="J9" s="115">
        <v>4</v>
      </c>
      <c r="K9" s="115"/>
      <c r="L9" s="115"/>
      <c r="M9" s="115">
        <v>12</v>
      </c>
      <c r="N9" s="115"/>
      <c r="O9" s="115"/>
      <c r="P9" s="115">
        <v>20</v>
      </c>
      <c r="Q9" s="115"/>
      <c r="R9" s="115"/>
    </row>
    <row r="10" spans="1:18">
      <c r="B10" s="74">
        <v>5</v>
      </c>
      <c r="C10" s="98" t="s">
        <v>411</v>
      </c>
      <c r="F10" s="57" t="s">
        <v>15</v>
      </c>
      <c r="G10" s="115" t="s">
        <v>229</v>
      </c>
      <c r="H10" s="115"/>
      <c r="I10" s="115"/>
      <c r="J10" s="115">
        <v>5</v>
      </c>
      <c r="K10" s="115"/>
      <c r="L10" s="115"/>
      <c r="M10" s="115">
        <v>13</v>
      </c>
      <c r="N10" s="115"/>
      <c r="O10" s="115"/>
      <c r="P10" s="115">
        <v>21</v>
      </c>
      <c r="Q10" s="115"/>
      <c r="R10" s="115"/>
    </row>
    <row r="11" spans="1:18">
      <c r="B11" s="74">
        <v>6</v>
      </c>
      <c r="C11" s="98" t="s">
        <v>412</v>
      </c>
      <c r="F11" s="57" t="s">
        <v>16</v>
      </c>
      <c r="G11" s="115" t="s">
        <v>230</v>
      </c>
      <c r="H11" s="115"/>
      <c r="I11" s="115"/>
      <c r="J11" s="115">
        <v>6</v>
      </c>
      <c r="K11" s="115"/>
      <c r="L11" s="115"/>
      <c r="M11" s="115">
        <v>14</v>
      </c>
      <c r="N11" s="115"/>
      <c r="O11" s="115"/>
      <c r="P11" s="115">
        <v>22</v>
      </c>
      <c r="Q11" s="115"/>
      <c r="R11" s="115"/>
    </row>
    <row r="12" spans="1:18">
      <c r="B12" s="74">
        <v>7</v>
      </c>
      <c r="C12" s="98" t="s">
        <v>413</v>
      </c>
      <c r="F12" s="57" t="s">
        <v>17</v>
      </c>
      <c r="G12" s="115" t="s">
        <v>232</v>
      </c>
      <c r="H12" s="115"/>
      <c r="I12" s="115"/>
      <c r="J12" s="115">
        <v>7</v>
      </c>
      <c r="K12" s="115"/>
      <c r="L12" s="115"/>
      <c r="M12" s="115">
        <v>15</v>
      </c>
      <c r="N12" s="115"/>
      <c r="O12" s="115"/>
      <c r="P12" s="115">
        <v>23</v>
      </c>
      <c r="Q12" s="115"/>
      <c r="R12" s="115"/>
    </row>
    <row r="13" spans="1:18">
      <c r="B13" s="74">
        <v>8</v>
      </c>
      <c r="C13" s="98" t="s">
        <v>414</v>
      </c>
      <c r="F13" s="57" t="s">
        <v>18</v>
      </c>
      <c r="G13" s="115" t="s">
        <v>231</v>
      </c>
      <c r="H13" s="115"/>
      <c r="I13" s="115"/>
      <c r="J13" s="115">
        <v>8</v>
      </c>
      <c r="K13" s="115"/>
      <c r="L13" s="115"/>
      <c r="M13" s="115">
        <v>16</v>
      </c>
      <c r="N13" s="115"/>
      <c r="O13" s="115"/>
      <c r="P13" s="115">
        <v>24</v>
      </c>
      <c r="Q13" s="115"/>
      <c r="R13" s="115"/>
    </row>
    <row r="14" spans="1:18">
      <c r="B14" s="74">
        <v>9</v>
      </c>
      <c r="C14" s="98" t="s">
        <v>415</v>
      </c>
    </row>
    <row r="15" spans="1:18">
      <c r="B15" s="74">
        <v>10</v>
      </c>
      <c r="C15" s="98" t="s">
        <v>416</v>
      </c>
    </row>
    <row r="16" spans="1:18">
      <c r="B16" s="74">
        <v>11</v>
      </c>
      <c r="C16" s="98" t="s">
        <v>417</v>
      </c>
    </row>
    <row r="17" spans="2:3">
      <c r="B17" s="74">
        <v>12</v>
      </c>
      <c r="C17" s="98" t="s">
        <v>418</v>
      </c>
    </row>
    <row r="18" spans="2:3">
      <c r="B18" s="74">
        <v>13</v>
      </c>
      <c r="C18" s="98" t="s">
        <v>419</v>
      </c>
    </row>
    <row r="19" spans="2:3">
      <c r="B19" s="74">
        <v>14</v>
      </c>
      <c r="C19" s="98" t="s">
        <v>420</v>
      </c>
    </row>
    <row r="20" spans="2:3">
      <c r="B20" s="74">
        <v>15</v>
      </c>
      <c r="C20" s="98" t="s">
        <v>421</v>
      </c>
    </row>
    <row r="21" spans="2:3">
      <c r="B21" s="74">
        <v>16</v>
      </c>
      <c r="C21" s="98" t="s">
        <v>422</v>
      </c>
    </row>
    <row r="22" spans="2:3">
      <c r="B22" s="74">
        <v>17</v>
      </c>
      <c r="C22" s="98" t="s">
        <v>423</v>
      </c>
    </row>
    <row r="23" spans="2:3">
      <c r="B23" s="74">
        <v>18</v>
      </c>
      <c r="C23" s="98" t="s">
        <v>424</v>
      </c>
    </row>
    <row r="24" spans="2:3">
      <c r="B24" s="74">
        <v>19</v>
      </c>
      <c r="C24" s="98" t="s">
        <v>425</v>
      </c>
    </row>
    <row r="25" spans="2:3">
      <c r="B25" s="74">
        <v>20</v>
      </c>
      <c r="C25" s="98" t="s">
        <v>426</v>
      </c>
    </row>
    <row r="26" spans="2:3">
      <c r="B26" s="74">
        <v>21</v>
      </c>
      <c r="C26" s="98" t="s">
        <v>427</v>
      </c>
    </row>
    <row r="27" spans="2:3">
      <c r="B27" s="74">
        <v>22</v>
      </c>
      <c r="C27" s="98" t="s">
        <v>428</v>
      </c>
    </row>
    <row r="28" spans="2:3">
      <c r="B28" s="74">
        <v>23</v>
      </c>
      <c r="C28" s="98" t="s">
        <v>429</v>
      </c>
    </row>
    <row r="29" spans="2:3">
      <c r="B29" s="74">
        <v>24</v>
      </c>
      <c r="C29" s="98" t="s">
        <v>430</v>
      </c>
    </row>
    <row r="30" spans="2:3">
      <c r="B30" s="75" t="s">
        <v>3</v>
      </c>
      <c r="C30" s="75" t="s">
        <v>4</v>
      </c>
    </row>
    <row r="31" spans="2:3">
      <c r="B31" s="75" t="s">
        <v>231</v>
      </c>
      <c r="C31" s="75" t="s">
        <v>294</v>
      </c>
    </row>
  </sheetData>
  <sheetProtection algorithmName="SHA-512" hashValue="3I9DxwsvgaZzWYJz3iu64IlidD9kli3JTCqPj2eqLZvDQpMcQA7yXIK25ntjqSFUqUtoVBk7b4wNGg3XjoZ2ww==" saltValue="wNnDH8TRaDa8N6SXYdl2/A==" spinCount="100000" sheet="1" objects="1" scenarios="1"/>
  <mergeCells count="32">
    <mergeCell ref="P7:R7"/>
    <mergeCell ref="P6:R6"/>
    <mergeCell ref="M13:O13"/>
    <mergeCell ref="M12:O12"/>
    <mergeCell ref="M11:O11"/>
    <mergeCell ref="M10:O10"/>
    <mergeCell ref="M9:O9"/>
    <mergeCell ref="M8:O8"/>
    <mergeCell ref="M7:O7"/>
    <mergeCell ref="M6:O6"/>
    <mergeCell ref="P13:R13"/>
    <mergeCell ref="P12:R12"/>
    <mergeCell ref="P11:R11"/>
    <mergeCell ref="P10:R10"/>
    <mergeCell ref="P9:R9"/>
    <mergeCell ref="P8:R8"/>
    <mergeCell ref="J7:L7"/>
    <mergeCell ref="J6:L6"/>
    <mergeCell ref="G13:I13"/>
    <mergeCell ref="G12:I12"/>
    <mergeCell ref="G11:I11"/>
    <mergeCell ref="G10:I10"/>
    <mergeCell ref="G9:I9"/>
    <mergeCell ref="G8:I8"/>
    <mergeCell ref="G7:I7"/>
    <mergeCell ref="G6:I6"/>
    <mergeCell ref="J13:L13"/>
    <mergeCell ref="J12:L12"/>
    <mergeCell ref="J11:L11"/>
    <mergeCell ref="J10:L10"/>
    <mergeCell ref="J9:L9"/>
    <mergeCell ref="J8:L8"/>
  </mergeCells>
  <phoneticPr fontId="12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235C-8B93-4041-9835-8AE71E3418CC}">
  <sheetPr codeName="Sheet4"/>
  <dimension ref="A1:O41"/>
  <sheetViews>
    <sheetView topLeftCell="A24" zoomScale="90" zoomScaleNormal="90" workbookViewId="0">
      <selection activeCell="O28" sqref="O28"/>
    </sheetView>
  </sheetViews>
  <sheetFormatPr defaultRowHeight="14.5"/>
  <cols>
    <col min="6" max="6" width="9.54296875" customWidth="1"/>
    <col min="18" max="18" width="9.453125" bestFit="1" customWidth="1"/>
  </cols>
  <sheetData>
    <row r="1" spans="1:15">
      <c r="A1" s="7" t="str">
        <f>IF('LC Raw Results'!A2&gt;1, RIGHT('LC Raw Results'!A2, LEN('LC Raw Results'!A2)-12), IF('QS Raw Results'!A25&gt;1, INDEX(_xlfn.TEXTSPLIT('QS Raw Results'!A25,"\"),1,7), "Paste Results File into Cell A2 of LC Raw Results or QS Raw Results"))</f>
        <v>2025-11-05_095412_DEN078_RNaseP-16S.eds</v>
      </c>
    </row>
    <row r="3" spans="1:15">
      <c r="B3" s="10" t="s">
        <v>149</v>
      </c>
      <c r="J3" s="13"/>
    </row>
    <row r="4" spans="1:15">
      <c r="B4" s="10"/>
      <c r="J4" s="13"/>
    </row>
    <row r="6" spans="1:15">
      <c r="B6" s="1" t="s">
        <v>326</v>
      </c>
      <c r="C6" s="1"/>
      <c r="D6" s="1"/>
      <c r="E6" s="1"/>
    </row>
    <row r="7" spans="1:15">
      <c r="B7" s="1" t="s">
        <v>190</v>
      </c>
      <c r="G7" s="25">
        <v>209</v>
      </c>
    </row>
    <row r="9" spans="1:15">
      <c r="B9" s="1" t="s">
        <v>202</v>
      </c>
      <c r="M9" s="68" t="s">
        <v>201</v>
      </c>
    </row>
    <row r="10" spans="1:15">
      <c r="B10" s="69"/>
      <c r="C10" s="119" t="s">
        <v>192</v>
      </c>
      <c r="D10" s="119"/>
      <c r="E10" s="119"/>
      <c r="F10" s="119"/>
      <c r="G10" s="119"/>
      <c r="H10" s="119"/>
      <c r="I10" s="124" t="s">
        <v>194</v>
      </c>
      <c r="J10" s="125"/>
      <c r="M10" s="69"/>
      <c r="N10" s="124" t="s">
        <v>328</v>
      </c>
      <c r="O10" s="125"/>
    </row>
    <row r="11" spans="1:15" ht="14.5" customHeight="1">
      <c r="B11" s="70" t="s">
        <v>37</v>
      </c>
      <c r="C11" s="118" t="s">
        <v>191</v>
      </c>
      <c r="D11" s="118"/>
      <c r="E11" s="118" t="s">
        <v>193</v>
      </c>
      <c r="F11" s="118"/>
      <c r="G11" s="118" t="s">
        <v>200</v>
      </c>
      <c r="H11" s="118"/>
      <c r="I11" s="126"/>
      <c r="J11" s="127"/>
      <c r="M11" s="70" t="s">
        <v>37</v>
      </c>
      <c r="N11" s="126"/>
      <c r="O11" s="127"/>
    </row>
    <row r="12" spans="1:15">
      <c r="B12" s="71" t="s">
        <v>5</v>
      </c>
      <c r="C12" s="117" t="str">
        <f>IF(ISODD(RIGHT(FIXED((N12/(G7*1000)*20),2),1))=TRUE,SUM((FIXED((N12/(G7*1000)*20),2))+0.01),FIXED((N12/(G7*1000)*20),2))&amp;" (Stock)"</f>
        <v>14.36 (Stock)</v>
      </c>
      <c r="D12" s="117"/>
      <c r="E12" s="116" t="str">
        <f>FIXED(20-(IF(ISODD(RIGHT(FIXED((N12/(G7*1000)*20),2),1))=TRUE,SUM((FIXED((N12/(G7*1000)*20),2))+0.01),FIXED((N12/(G7*1000)*20),2))),2)</f>
        <v>5.64</v>
      </c>
      <c r="F12" s="116"/>
      <c r="G12" s="117">
        <v>20</v>
      </c>
      <c r="H12" s="117"/>
      <c r="I12" s="120">
        <f>(LEFT(C12,5)/20)*($G$7*1000)</f>
        <v>150062</v>
      </c>
      <c r="J12" s="121"/>
      <c r="M12" s="71" t="s">
        <v>5</v>
      </c>
      <c r="N12" s="120">
        <v>150000</v>
      </c>
      <c r="O12" s="121"/>
    </row>
    <row r="13" spans="1:15">
      <c r="B13" s="71" t="s">
        <v>6</v>
      </c>
      <c r="C13" s="116" t="s">
        <v>195</v>
      </c>
      <c r="D13" s="116"/>
      <c r="E13" s="117">
        <v>15.5</v>
      </c>
      <c r="F13" s="117"/>
      <c r="G13" s="117">
        <v>20</v>
      </c>
      <c r="H13" s="117"/>
      <c r="I13" s="122">
        <f>(4.5/20)*I12</f>
        <v>33763.950000000004</v>
      </c>
      <c r="J13" s="123"/>
      <c r="M13" s="71" t="s">
        <v>6</v>
      </c>
      <c r="N13" s="122">
        <f>(4.5/20)*N12</f>
        <v>33750</v>
      </c>
      <c r="O13" s="123"/>
    </row>
    <row r="14" spans="1:15">
      <c r="B14" s="71" t="s">
        <v>7</v>
      </c>
      <c r="C14" s="116" t="s">
        <v>196</v>
      </c>
      <c r="D14" s="116"/>
      <c r="E14" s="117">
        <v>15.5</v>
      </c>
      <c r="F14" s="117"/>
      <c r="G14" s="117">
        <v>20</v>
      </c>
      <c r="H14" s="117"/>
      <c r="I14" s="122">
        <f t="shared" ref="I14:I17" si="0">(4.5/20)*I13</f>
        <v>7596.888750000001</v>
      </c>
      <c r="J14" s="123"/>
      <c r="M14" s="71" t="s">
        <v>7</v>
      </c>
      <c r="N14" s="122">
        <f t="shared" ref="N14:N16" si="1">(4.5/20)*N13</f>
        <v>7593.75</v>
      </c>
      <c r="O14" s="123"/>
    </row>
    <row r="15" spans="1:15">
      <c r="B15" s="71" t="s">
        <v>8</v>
      </c>
      <c r="C15" s="116" t="s">
        <v>197</v>
      </c>
      <c r="D15" s="116"/>
      <c r="E15" s="117">
        <v>15.5</v>
      </c>
      <c r="F15" s="117"/>
      <c r="G15" s="117">
        <v>20</v>
      </c>
      <c r="H15" s="117"/>
      <c r="I15" s="122">
        <f t="shared" si="0"/>
        <v>1709.2999687500003</v>
      </c>
      <c r="J15" s="123"/>
      <c r="M15" s="71" t="s">
        <v>8</v>
      </c>
      <c r="N15" s="122">
        <f t="shared" si="1"/>
        <v>1708.59375</v>
      </c>
      <c r="O15" s="123"/>
    </row>
    <row r="16" spans="1:15">
      <c r="B16" s="71" t="s">
        <v>9</v>
      </c>
      <c r="C16" s="116" t="s">
        <v>198</v>
      </c>
      <c r="D16" s="116"/>
      <c r="E16" s="117">
        <v>15.5</v>
      </c>
      <c r="F16" s="117"/>
      <c r="G16" s="117">
        <v>20</v>
      </c>
      <c r="H16" s="117"/>
      <c r="I16" s="122">
        <f t="shared" si="0"/>
        <v>384.59249296875009</v>
      </c>
      <c r="J16" s="123"/>
      <c r="M16" s="71" t="s">
        <v>9</v>
      </c>
      <c r="N16" s="122">
        <f t="shared" si="1"/>
        <v>384.43359375</v>
      </c>
      <c r="O16" s="123"/>
    </row>
    <row r="17" spans="2:15">
      <c r="B17" s="70" t="s">
        <v>10</v>
      </c>
      <c r="C17" s="130" t="s">
        <v>199</v>
      </c>
      <c r="D17" s="130"/>
      <c r="E17" s="131">
        <v>15.5</v>
      </c>
      <c r="F17" s="131"/>
      <c r="G17" s="131">
        <v>20</v>
      </c>
      <c r="H17" s="131"/>
      <c r="I17" s="128">
        <f t="shared" si="0"/>
        <v>86.533310917968777</v>
      </c>
      <c r="J17" s="129"/>
      <c r="M17" s="70" t="s">
        <v>10</v>
      </c>
      <c r="N17" s="128">
        <f>(4.5/20)*N16</f>
        <v>86.49755859375</v>
      </c>
      <c r="O17" s="129"/>
    </row>
    <row r="18" spans="2:15">
      <c r="B18" t="s">
        <v>205</v>
      </c>
    </row>
    <row r="20" spans="2:15">
      <c r="B20" s="1" t="s">
        <v>206</v>
      </c>
    </row>
    <row r="21" spans="2:15">
      <c r="B21" t="s">
        <v>204</v>
      </c>
    </row>
    <row r="25" spans="2:15">
      <c r="E25" s="1"/>
    </row>
    <row r="26" spans="2:15">
      <c r="B26" s="1" t="s">
        <v>327</v>
      </c>
      <c r="C26" s="1"/>
      <c r="D26" s="1"/>
      <c r="E26" s="1"/>
    </row>
    <row r="27" spans="2:15">
      <c r="B27" s="1" t="s">
        <v>358</v>
      </c>
    </row>
    <row r="28" spans="2:15">
      <c r="M28" s="83"/>
    </row>
    <row r="29" spans="2:15">
      <c r="B29" s="1" t="s">
        <v>202</v>
      </c>
      <c r="M29" s="83"/>
    </row>
    <row r="30" spans="2:15">
      <c r="B30" s="69"/>
      <c r="C30" s="119" t="s">
        <v>192</v>
      </c>
      <c r="D30" s="119"/>
      <c r="E30" s="119"/>
      <c r="F30" s="119"/>
      <c r="G30" s="119"/>
      <c r="H30" s="119"/>
      <c r="I30" s="124" t="s">
        <v>318</v>
      </c>
      <c r="J30" s="125"/>
      <c r="M30" s="83"/>
    </row>
    <row r="31" spans="2:15">
      <c r="B31" s="70" t="s">
        <v>37</v>
      </c>
      <c r="C31" s="118" t="s">
        <v>191</v>
      </c>
      <c r="D31" s="118"/>
      <c r="E31" s="118" t="s">
        <v>193</v>
      </c>
      <c r="F31" s="118"/>
      <c r="G31" s="118" t="s">
        <v>200</v>
      </c>
      <c r="H31" s="118"/>
      <c r="I31" s="126"/>
      <c r="J31" s="127"/>
      <c r="M31" s="83"/>
    </row>
    <row r="32" spans="2:15">
      <c r="B32" s="71" t="s">
        <v>5</v>
      </c>
      <c r="C32" s="117" t="s">
        <v>329</v>
      </c>
      <c r="D32" s="117"/>
      <c r="E32" s="116">
        <v>0</v>
      </c>
      <c r="F32" s="116"/>
      <c r="G32" s="117">
        <v>16</v>
      </c>
      <c r="H32" s="117"/>
      <c r="I32" s="120">
        <v>20000</v>
      </c>
      <c r="J32" s="121"/>
      <c r="M32" s="83"/>
    </row>
    <row r="33" spans="2:13">
      <c r="B33" s="71" t="s">
        <v>6</v>
      </c>
      <c r="C33" s="116" t="s">
        <v>319</v>
      </c>
      <c r="D33" s="116"/>
      <c r="E33" s="117">
        <v>14</v>
      </c>
      <c r="F33" s="117"/>
      <c r="G33" s="117">
        <v>16</v>
      </c>
      <c r="H33" s="117"/>
      <c r="I33" s="122">
        <v>2500</v>
      </c>
      <c r="J33" s="123"/>
      <c r="M33" s="83"/>
    </row>
    <row r="34" spans="2:13">
      <c r="B34" s="71" t="s">
        <v>7</v>
      </c>
      <c r="C34" s="116" t="s">
        <v>320</v>
      </c>
      <c r="D34" s="116"/>
      <c r="E34" s="117">
        <v>14</v>
      </c>
      <c r="F34" s="117"/>
      <c r="G34" s="117">
        <v>16</v>
      </c>
      <c r="H34" s="117"/>
      <c r="I34" s="122">
        <v>312.5</v>
      </c>
      <c r="J34" s="123"/>
      <c r="M34" s="83"/>
    </row>
    <row r="35" spans="2:13">
      <c r="B35" s="71" t="s">
        <v>8</v>
      </c>
      <c r="C35" s="116" t="s">
        <v>321</v>
      </c>
      <c r="D35" s="116"/>
      <c r="E35" s="117">
        <v>14</v>
      </c>
      <c r="F35" s="117"/>
      <c r="G35" s="117">
        <v>16</v>
      </c>
      <c r="H35" s="117"/>
      <c r="I35" s="122">
        <v>39.06</v>
      </c>
      <c r="J35" s="123"/>
      <c r="M35" s="83"/>
    </row>
    <row r="36" spans="2:13">
      <c r="B36" s="71" t="s">
        <v>9</v>
      </c>
      <c r="C36" s="116" t="s">
        <v>322</v>
      </c>
      <c r="D36" s="116"/>
      <c r="E36" s="117">
        <v>14</v>
      </c>
      <c r="F36" s="117"/>
      <c r="G36" s="117">
        <v>16</v>
      </c>
      <c r="H36" s="117"/>
      <c r="I36" s="122">
        <v>4.88</v>
      </c>
      <c r="J36" s="123"/>
      <c r="M36" s="83"/>
    </row>
    <row r="37" spans="2:13">
      <c r="B37" s="70" t="s">
        <v>10</v>
      </c>
      <c r="C37" s="130" t="s">
        <v>323</v>
      </c>
      <c r="D37" s="130"/>
      <c r="E37" s="131">
        <v>14</v>
      </c>
      <c r="F37" s="131"/>
      <c r="G37" s="131">
        <v>16</v>
      </c>
      <c r="H37" s="131"/>
      <c r="I37" s="128">
        <v>0.61</v>
      </c>
      <c r="J37" s="129"/>
      <c r="M37" s="83"/>
    </row>
    <row r="38" spans="2:13">
      <c r="B38" s="59" t="s">
        <v>324</v>
      </c>
      <c r="M38" s="83"/>
    </row>
    <row r="39" spans="2:13">
      <c r="M39" s="83"/>
    </row>
    <row r="40" spans="2:13">
      <c r="B40" s="1" t="s">
        <v>206</v>
      </c>
      <c r="M40" s="83"/>
    </row>
    <row r="41" spans="2:13">
      <c r="B41" t="s">
        <v>325</v>
      </c>
      <c r="M41" s="83"/>
    </row>
  </sheetData>
  <sheetProtection algorithmName="SHA-512" hashValue="RY0hS64clT8gxAL3mQja+tt6V3Ckphl+5tWu9ra4V78rC9FnlBA5GaSsyBCyuquoZ/qa5biuRkHYNq8v0VhiNg==" saltValue="QOQQ0q5Uy00sJKcQYwrS3g==" spinCount="100000" sheet="1" objects="1" scenarios="1"/>
  <mergeCells count="65">
    <mergeCell ref="C36:D36"/>
    <mergeCell ref="E36:F36"/>
    <mergeCell ref="G36:H36"/>
    <mergeCell ref="I36:J36"/>
    <mergeCell ref="C37:D37"/>
    <mergeCell ref="E37:F37"/>
    <mergeCell ref="G37:H37"/>
    <mergeCell ref="I37:J37"/>
    <mergeCell ref="C34:D34"/>
    <mergeCell ref="E34:F34"/>
    <mergeCell ref="G34:H34"/>
    <mergeCell ref="I34:J34"/>
    <mergeCell ref="C35:D35"/>
    <mergeCell ref="E35:F35"/>
    <mergeCell ref="G35:H35"/>
    <mergeCell ref="I35:J35"/>
    <mergeCell ref="C32:D32"/>
    <mergeCell ref="E32:F32"/>
    <mergeCell ref="G32:H32"/>
    <mergeCell ref="I32:J32"/>
    <mergeCell ref="C33:D33"/>
    <mergeCell ref="E33:F33"/>
    <mergeCell ref="G33:H33"/>
    <mergeCell ref="I33:J33"/>
    <mergeCell ref="C30:H30"/>
    <mergeCell ref="I30:J31"/>
    <mergeCell ref="C31:D31"/>
    <mergeCell ref="E31:F31"/>
    <mergeCell ref="G31:H31"/>
    <mergeCell ref="N15:O15"/>
    <mergeCell ref="N16:O16"/>
    <mergeCell ref="N17:O17"/>
    <mergeCell ref="C17:D17"/>
    <mergeCell ref="E17:F17"/>
    <mergeCell ref="G17:H17"/>
    <mergeCell ref="I17:J17"/>
    <mergeCell ref="I10:J11"/>
    <mergeCell ref="N10:O11"/>
    <mergeCell ref="N12:O12"/>
    <mergeCell ref="N13:O13"/>
    <mergeCell ref="N14:O14"/>
    <mergeCell ref="G14:H14"/>
    <mergeCell ref="G15:H15"/>
    <mergeCell ref="G16:H16"/>
    <mergeCell ref="I12:J12"/>
    <mergeCell ref="I13:J13"/>
    <mergeCell ref="I14:J14"/>
    <mergeCell ref="I15:J15"/>
    <mergeCell ref="I16:J16"/>
    <mergeCell ref="G11:H11"/>
    <mergeCell ref="G12:H12"/>
    <mergeCell ref="G13:H13"/>
    <mergeCell ref="C10:H10"/>
    <mergeCell ref="C13:D13"/>
    <mergeCell ref="C11:D11"/>
    <mergeCell ref="E11:F11"/>
    <mergeCell ref="E12:F12"/>
    <mergeCell ref="C12:D12"/>
    <mergeCell ref="C14:D14"/>
    <mergeCell ref="C15:D15"/>
    <mergeCell ref="C16:D16"/>
    <mergeCell ref="E13:F13"/>
    <mergeCell ref="E14:F14"/>
    <mergeCell ref="E15:F15"/>
    <mergeCell ref="E16:F16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9D28-88A3-4972-9999-0691157D2BCA}">
  <sheetPr codeName="Sheet5"/>
  <dimension ref="A1:AB28"/>
  <sheetViews>
    <sheetView topLeftCell="H1" zoomScaleNormal="100" workbookViewId="0">
      <selection activeCell="S5" sqref="S5"/>
    </sheetView>
  </sheetViews>
  <sheetFormatPr defaultRowHeight="14.5"/>
  <cols>
    <col min="17" max="17" width="9.453125" customWidth="1"/>
    <col min="18" max="18" width="8.7265625" customWidth="1"/>
    <col min="19" max="19" width="10.81640625" customWidth="1"/>
    <col min="26" max="26" width="12" customWidth="1"/>
    <col min="27" max="28" width="11.1796875" customWidth="1"/>
  </cols>
  <sheetData>
    <row r="1" spans="1:28">
      <c r="A1" s="7" t="str">
        <f>IF('LC Raw Results'!A2&gt;1, RIGHT('LC Raw Results'!A2, LEN('LC Raw Results'!A2)-12), IF('QS Raw Results'!A25&gt;1, INDEX(_xlfn.TEXTSPLIT('QS Raw Results'!A25,"\"),1,7), "Paste Results File into Cell A2 of LC Raw Results or QS Raw Results"))</f>
        <v>2025-11-05_095412_DEN078_RNaseP-16S.eds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28">
      <c r="A2" s="7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spans="1:28">
      <c r="B3" s="52" t="s">
        <v>400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2" t="s">
        <v>151</v>
      </c>
      <c r="R3" s="51"/>
      <c r="S3" s="51"/>
    </row>
    <row r="4" spans="1:28"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28">
      <c r="O5" s="51"/>
      <c r="P5" s="51"/>
      <c r="Q5" s="1" t="s">
        <v>154</v>
      </c>
      <c r="S5" s="22">
        <v>24</v>
      </c>
    </row>
    <row r="6" spans="1:28">
      <c r="B6" s="53" t="s">
        <v>401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</row>
    <row r="7" spans="1:28" ht="14.5" customHeight="1">
      <c r="B7" s="53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144" t="s">
        <v>20</v>
      </c>
      <c r="R7" s="144"/>
      <c r="S7" s="144"/>
      <c r="T7" s="144" t="s">
        <v>152</v>
      </c>
      <c r="U7" s="144"/>
      <c r="V7" s="144" t="s">
        <v>153</v>
      </c>
      <c r="W7" s="144"/>
      <c r="X7" s="144" t="s">
        <v>161</v>
      </c>
      <c r="Y7" s="144"/>
      <c r="Z7" s="149" t="s">
        <v>214</v>
      </c>
      <c r="AA7" s="144" t="s">
        <v>215</v>
      </c>
      <c r="AB7" s="144"/>
    </row>
    <row r="8" spans="1:28">
      <c r="B8" s="62"/>
      <c r="C8" s="63">
        <v>1</v>
      </c>
      <c r="D8" s="63">
        <v>2</v>
      </c>
      <c r="E8" s="64">
        <v>3</v>
      </c>
      <c r="F8" s="55">
        <v>4</v>
      </c>
      <c r="G8" s="65">
        <v>5</v>
      </c>
      <c r="H8" s="65">
        <v>6</v>
      </c>
      <c r="I8" s="65">
        <v>7</v>
      </c>
      <c r="J8" s="65">
        <v>8</v>
      </c>
      <c r="K8" s="65">
        <v>9</v>
      </c>
      <c r="L8" s="65">
        <v>10</v>
      </c>
      <c r="M8" s="65">
        <v>11</v>
      </c>
      <c r="N8" s="65">
        <v>12</v>
      </c>
      <c r="O8" s="51"/>
      <c r="P8" s="51"/>
      <c r="Q8" s="144"/>
      <c r="R8" s="144"/>
      <c r="S8" s="144"/>
      <c r="T8" s="144"/>
      <c r="U8" s="144"/>
      <c r="V8" s="144"/>
      <c r="W8" s="144"/>
      <c r="X8" s="144"/>
      <c r="Y8" s="144"/>
      <c r="Z8" s="150"/>
      <c r="AA8" s="57" t="s">
        <v>216</v>
      </c>
      <c r="AB8" s="57" t="s">
        <v>217</v>
      </c>
    </row>
    <row r="9" spans="1:28">
      <c r="B9" s="66" t="s">
        <v>11</v>
      </c>
      <c r="C9" s="138" t="s">
        <v>5</v>
      </c>
      <c r="D9" s="139"/>
      <c r="E9" s="140"/>
      <c r="F9" s="135" t="s">
        <v>330</v>
      </c>
      <c r="G9" s="136"/>
      <c r="H9" s="137"/>
      <c r="I9" s="135" t="s">
        <v>338</v>
      </c>
      <c r="J9" s="136"/>
      <c r="K9" s="137"/>
      <c r="L9" s="135" t="s">
        <v>346</v>
      </c>
      <c r="M9" s="136"/>
      <c r="N9" s="137"/>
      <c r="O9" s="51"/>
      <c r="P9" s="51"/>
      <c r="Q9" s="148" t="s">
        <v>354</v>
      </c>
      <c r="R9" s="148"/>
      <c r="S9" s="148"/>
      <c r="T9" s="148" t="s">
        <v>155</v>
      </c>
      <c r="U9" s="148"/>
      <c r="V9" s="148" t="s">
        <v>26</v>
      </c>
      <c r="W9" s="148"/>
      <c r="X9" s="148">
        <v>10</v>
      </c>
      <c r="Y9" s="148"/>
      <c r="Z9" s="58">
        <f>X9*24</f>
        <v>240</v>
      </c>
      <c r="AA9" s="56">
        <f>Z9+(3*(X9*$S$5))</f>
        <v>960</v>
      </c>
      <c r="AB9" s="56">
        <f>AA9*1.1</f>
        <v>1056</v>
      </c>
    </row>
    <row r="10" spans="1:28">
      <c r="B10" s="66" t="s">
        <v>12</v>
      </c>
      <c r="C10" s="138" t="s">
        <v>6</v>
      </c>
      <c r="D10" s="139"/>
      <c r="E10" s="140"/>
      <c r="F10" s="135" t="s">
        <v>331</v>
      </c>
      <c r="G10" s="136"/>
      <c r="H10" s="137"/>
      <c r="I10" s="135" t="s">
        <v>339</v>
      </c>
      <c r="J10" s="136"/>
      <c r="K10" s="137"/>
      <c r="L10" s="135" t="s">
        <v>347</v>
      </c>
      <c r="M10" s="136"/>
      <c r="N10" s="137"/>
      <c r="O10" s="51"/>
      <c r="P10" s="51"/>
      <c r="Q10" s="148" t="s">
        <v>25</v>
      </c>
      <c r="R10" s="148"/>
      <c r="S10" s="148"/>
      <c r="T10" s="148" t="s">
        <v>156</v>
      </c>
      <c r="U10" s="148"/>
      <c r="V10" s="148" t="s">
        <v>26</v>
      </c>
      <c r="W10" s="148"/>
      <c r="X10" s="148">
        <v>0.5</v>
      </c>
      <c r="Y10" s="148"/>
      <c r="Z10" s="58">
        <f t="shared" ref="Z10:Z12" si="0">X10*24</f>
        <v>12</v>
      </c>
      <c r="AA10" s="56">
        <f>Z10+(3*(X10*$S$5))</f>
        <v>48</v>
      </c>
      <c r="AB10" s="56">
        <f t="shared" ref="AB10:AB12" si="1">AA10*1.1</f>
        <v>52.800000000000004</v>
      </c>
    </row>
    <row r="11" spans="1:28">
      <c r="B11" s="66" t="s">
        <v>13</v>
      </c>
      <c r="C11" s="138" t="s">
        <v>7</v>
      </c>
      <c r="D11" s="139"/>
      <c r="E11" s="140"/>
      <c r="F11" s="135" t="s">
        <v>332</v>
      </c>
      <c r="G11" s="136"/>
      <c r="H11" s="137"/>
      <c r="I11" s="135" t="s">
        <v>340</v>
      </c>
      <c r="J11" s="136"/>
      <c r="K11" s="137"/>
      <c r="L11" s="135" t="s">
        <v>348</v>
      </c>
      <c r="M11" s="136"/>
      <c r="N11" s="137"/>
      <c r="O11" s="51"/>
      <c r="P11" s="51"/>
      <c r="Q11" s="148" t="s">
        <v>357</v>
      </c>
      <c r="R11" s="148"/>
      <c r="S11" s="148"/>
      <c r="T11" s="148" t="s">
        <v>156</v>
      </c>
      <c r="U11" s="148"/>
      <c r="V11" s="148" t="s">
        <v>26</v>
      </c>
      <c r="W11" s="148"/>
      <c r="X11" s="148">
        <v>1</v>
      </c>
      <c r="Y11" s="148"/>
      <c r="Z11" s="58">
        <f t="shared" si="0"/>
        <v>24</v>
      </c>
      <c r="AA11" s="56">
        <f>Z11+(3*(X11*$S$5))</f>
        <v>96</v>
      </c>
      <c r="AB11" s="56">
        <f t="shared" si="1"/>
        <v>105.60000000000001</v>
      </c>
    </row>
    <row r="12" spans="1:28">
      <c r="B12" s="66" t="s">
        <v>14</v>
      </c>
      <c r="C12" s="138" t="s">
        <v>8</v>
      </c>
      <c r="D12" s="139"/>
      <c r="E12" s="140"/>
      <c r="F12" s="135" t="s">
        <v>333</v>
      </c>
      <c r="G12" s="136"/>
      <c r="H12" s="137"/>
      <c r="I12" s="135" t="s">
        <v>341</v>
      </c>
      <c r="J12" s="136"/>
      <c r="K12" s="137"/>
      <c r="L12" s="135" t="s">
        <v>349</v>
      </c>
      <c r="M12" s="136"/>
      <c r="N12" s="137"/>
      <c r="O12" s="51"/>
      <c r="P12" s="51"/>
      <c r="Q12" s="148" t="s">
        <v>299</v>
      </c>
      <c r="R12" s="148"/>
      <c r="S12" s="148"/>
      <c r="T12" s="148" t="s">
        <v>139</v>
      </c>
      <c r="U12" s="148"/>
      <c r="V12" s="148" t="s">
        <v>139</v>
      </c>
      <c r="W12" s="148"/>
      <c r="X12" s="148">
        <v>4.5</v>
      </c>
      <c r="Y12" s="148"/>
      <c r="Z12" s="58">
        <f t="shared" si="0"/>
        <v>108</v>
      </c>
      <c r="AA12" s="56">
        <f t="shared" ref="AA12" si="2">Z12+(3*(X12*$S$5))</f>
        <v>432</v>
      </c>
      <c r="AB12" s="56">
        <f t="shared" si="1"/>
        <v>475.20000000000005</v>
      </c>
    </row>
    <row r="13" spans="1:28">
      <c r="B13" s="66" t="s">
        <v>15</v>
      </c>
      <c r="C13" s="145" t="s">
        <v>9</v>
      </c>
      <c r="D13" s="146"/>
      <c r="E13" s="147"/>
      <c r="F13" s="135" t="s">
        <v>334</v>
      </c>
      <c r="G13" s="136"/>
      <c r="H13" s="137"/>
      <c r="I13" s="135" t="s">
        <v>342</v>
      </c>
      <c r="J13" s="136"/>
      <c r="K13" s="137"/>
      <c r="L13" s="135" t="s">
        <v>350</v>
      </c>
      <c r="M13" s="136"/>
      <c r="N13" s="137"/>
      <c r="O13" s="51"/>
      <c r="P13" s="51"/>
      <c r="Q13" s="51"/>
      <c r="R13" s="51"/>
      <c r="S13" s="51"/>
      <c r="W13" s="11" t="s">
        <v>162</v>
      </c>
      <c r="X13" s="151">
        <f>SUM(X9:Y12)</f>
        <v>16</v>
      </c>
      <c r="Y13" s="151"/>
      <c r="Z13" s="57">
        <f>SUM(Z9:Z12)</f>
        <v>384</v>
      </c>
      <c r="AA13" s="57">
        <f>SUM(AA9:AA12)</f>
        <v>1536</v>
      </c>
      <c r="AB13" s="57">
        <f>SUM(AB9:AB12)</f>
        <v>1689.6</v>
      </c>
    </row>
    <row r="14" spans="1:28">
      <c r="B14" s="67" t="s">
        <v>16</v>
      </c>
      <c r="C14" s="141" t="s">
        <v>10</v>
      </c>
      <c r="D14" s="142"/>
      <c r="E14" s="143"/>
      <c r="F14" s="135" t="s">
        <v>335</v>
      </c>
      <c r="G14" s="136"/>
      <c r="H14" s="137"/>
      <c r="I14" s="135" t="s">
        <v>343</v>
      </c>
      <c r="J14" s="136"/>
      <c r="K14" s="137"/>
      <c r="L14" s="135" t="s">
        <v>351</v>
      </c>
      <c r="M14" s="136"/>
      <c r="N14" s="137"/>
      <c r="O14" s="51"/>
      <c r="P14" s="51"/>
      <c r="Q14" s="51"/>
      <c r="R14" s="51"/>
      <c r="S14" s="51"/>
      <c r="X14" s="59" t="s">
        <v>298</v>
      </c>
    </row>
    <row r="15" spans="1:28">
      <c r="B15" s="67" t="s">
        <v>17</v>
      </c>
      <c r="C15" s="138" t="s">
        <v>150</v>
      </c>
      <c r="D15" s="139"/>
      <c r="E15" s="140"/>
      <c r="F15" s="135" t="s">
        <v>336</v>
      </c>
      <c r="G15" s="136"/>
      <c r="H15" s="137"/>
      <c r="I15" s="135" t="s">
        <v>344</v>
      </c>
      <c r="J15" s="136"/>
      <c r="K15" s="137"/>
      <c r="L15" s="135" t="s">
        <v>352</v>
      </c>
      <c r="M15" s="136"/>
      <c r="N15" s="137"/>
      <c r="O15" s="51"/>
      <c r="P15" s="51"/>
      <c r="Q15" s="60"/>
      <c r="S15" s="51"/>
    </row>
    <row r="16" spans="1:28">
      <c r="B16" s="67" t="s">
        <v>18</v>
      </c>
      <c r="C16" s="132" t="s">
        <v>19</v>
      </c>
      <c r="D16" s="133"/>
      <c r="E16" s="134"/>
      <c r="F16" s="135" t="s">
        <v>337</v>
      </c>
      <c r="G16" s="136"/>
      <c r="H16" s="137"/>
      <c r="I16" s="135" t="s">
        <v>345</v>
      </c>
      <c r="J16" s="136"/>
      <c r="K16" s="137"/>
      <c r="L16" s="135" t="s">
        <v>353</v>
      </c>
      <c r="M16" s="136"/>
      <c r="N16" s="137"/>
    </row>
    <row r="18" spans="15:23">
      <c r="O18" s="51"/>
      <c r="P18" s="51"/>
      <c r="Q18" s="10" t="s">
        <v>303</v>
      </c>
      <c r="R18" s="51"/>
      <c r="S18" s="51"/>
      <c r="T18" s="51"/>
      <c r="U18" s="51"/>
    </row>
    <row r="19" spans="15:23" ht="14.15" customHeight="1">
      <c r="O19" s="51"/>
      <c r="P19" s="51"/>
      <c r="R19" s="61"/>
      <c r="S19" s="61"/>
      <c r="T19" s="51"/>
      <c r="U19" s="51"/>
    </row>
    <row r="20" spans="15:23">
      <c r="O20" s="51"/>
      <c r="P20" s="51"/>
      <c r="Q20" s="144" t="s">
        <v>28</v>
      </c>
      <c r="R20" s="144"/>
      <c r="S20" s="144" t="s">
        <v>29</v>
      </c>
      <c r="T20" s="144"/>
      <c r="U20" s="144" t="s">
        <v>30</v>
      </c>
      <c r="V20" s="144"/>
      <c r="W20" s="56" t="s">
        <v>157</v>
      </c>
    </row>
    <row r="21" spans="15:23" ht="14.5" customHeight="1">
      <c r="O21" s="51"/>
      <c r="P21" s="51"/>
      <c r="Q21" s="148" t="s">
        <v>31</v>
      </c>
      <c r="R21" s="148"/>
      <c r="S21" s="148" t="s">
        <v>32</v>
      </c>
      <c r="T21" s="148"/>
      <c r="U21" s="148" t="s">
        <v>160</v>
      </c>
      <c r="V21" s="148"/>
      <c r="W21" s="58">
        <v>1</v>
      </c>
    </row>
    <row r="22" spans="15:23" ht="14.5" customHeight="1">
      <c r="O22" s="51"/>
      <c r="P22" s="51"/>
      <c r="Q22" s="148" t="s">
        <v>33</v>
      </c>
      <c r="R22" s="148"/>
      <c r="S22" s="148" t="s">
        <v>34</v>
      </c>
      <c r="T22" s="148"/>
      <c r="U22" s="148" t="s">
        <v>355</v>
      </c>
      <c r="V22" s="148"/>
      <c r="W22" s="58">
        <v>1</v>
      </c>
    </row>
    <row r="23" spans="15:23" ht="14.5" customHeight="1">
      <c r="O23" s="51"/>
      <c r="P23" s="51"/>
      <c r="Q23" s="148" t="s">
        <v>158</v>
      </c>
      <c r="R23" s="148"/>
      <c r="S23" s="148" t="s">
        <v>34</v>
      </c>
      <c r="T23" s="148"/>
      <c r="U23" s="148" t="s">
        <v>356</v>
      </c>
      <c r="V23" s="148"/>
      <c r="W23" s="148">
        <v>45</v>
      </c>
    </row>
    <row r="24" spans="15:23" ht="14.5" customHeight="1">
      <c r="O24" s="51"/>
      <c r="P24" s="51"/>
      <c r="Q24" s="148" t="s">
        <v>159</v>
      </c>
      <c r="R24" s="148"/>
      <c r="S24" s="148" t="s">
        <v>35</v>
      </c>
      <c r="T24" s="148"/>
      <c r="U24" s="148" t="s">
        <v>355</v>
      </c>
      <c r="V24" s="148"/>
      <c r="W24" s="148"/>
    </row>
    <row r="25" spans="15:23" ht="14.5" customHeight="1">
      <c r="O25" s="51"/>
      <c r="P25" s="51"/>
    </row>
    <row r="26" spans="15:23" ht="14.5" customHeight="1">
      <c r="O26" s="51"/>
      <c r="P26" s="51"/>
    </row>
    <row r="27" spans="15:23" ht="14.5" customHeight="1">
      <c r="O27" s="51"/>
      <c r="P27" s="51"/>
      <c r="Q27" s="51"/>
      <c r="R27" s="51"/>
      <c r="S27" s="51"/>
      <c r="T27" s="51"/>
      <c r="U27" s="51"/>
    </row>
    <row r="28" spans="15:23" ht="14.5" customHeight="1">
      <c r="O28" s="51"/>
      <c r="P28" s="51"/>
      <c r="Q28" s="51"/>
      <c r="R28" s="51"/>
      <c r="S28" s="51"/>
      <c r="T28" s="51"/>
      <c r="U28" s="51"/>
    </row>
  </sheetData>
  <sheetProtection algorithmName="SHA-512" hashValue="9PNJsmeU+n+q9H6TiPpj4AMEDieq1DvT3uxMqQn8F0HMO5YjFLHIltPvG6cFWlhljS0f+dYCJr4aSGaiKOBrxA==" saltValue="jRmFKC/WCnkDprJSQtvOkQ==" spinCount="100000" sheet="1" objects="1" scenarios="1"/>
  <mergeCells count="71">
    <mergeCell ref="V10:W10"/>
    <mergeCell ref="V9:W9"/>
    <mergeCell ref="T7:U8"/>
    <mergeCell ref="AA7:AB7"/>
    <mergeCell ref="W23:W24"/>
    <mergeCell ref="X9:Y9"/>
    <mergeCell ref="X10:Y10"/>
    <mergeCell ref="X11:Y11"/>
    <mergeCell ref="X12:Y12"/>
    <mergeCell ref="X13:Y13"/>
    <mergeCell ref="X7:Y8"/>
    <mergeCell ref="V7:W8"/>
    <mergeCell ref="U24:V24"/>
    <mergeCell ref="U23:V23"/>
    <mergeCell ref="U22:V22"/>
    <mergeCell ref="U21:V21"/>
    <mergeCell ref="U20:V20"/>
    <mergeCell ref="Z7:Z8"/>
    <mergeCell ref="V11:W11"/>
    <mergeCell ref="Q24:R24"/>
    <mergeCell ref="Q23:R23"/>
    <mergeCell ref="Q22:R22"/>
    <mergeCell ref="Q21:R21"/>
    <mergeCell ref="Q20:R20"/>
    <mergeCell ref="S24:T24"/>
    <mergeCell ref="S23:T23"/>
    <mergeCell ref="S22:T22"/>
    <mergeCell ref="S21:T21"/>
    <mergeCell ref="S20:T20"/>
    <mergeCell ref="Q12:S12"/>
    <mergeCell ref="T12:U12"/>
    <mergeCell ref="V12:W12"/>
    <mergeCell ref="T11:U11"/>
    <mergeCell ref="Q10:S10"/>
    <mergeCell ref="T10:U10"/>
    <mergeCell ref="Q9:S9"/>
    <mergeCell ref="T9:U9"/>
    <mergeCell ref="Q7:S8"/>
    <mergeCell ref="C13:E13"/>
    <mergeCell ref="F13:H13"/>
    <mergeCell ref="I13:K13"/>
    <mergeCell ref="L13:N13"/>
    <mergeCell ref="C12:E12"/>
    <mergeCell ref="F12:H12"/>
    <mergeCell ref="I12:K12"/>
    <mergeCell ref="L12:N12"/>
    <mergeCell ref="Q11:S11"/>
    <mergeCell ref="C14:E14"/>
    <mergeCell ref="F14:H14"/>
    <mergeCell ref="I14:K14"/>
    <mergeCell ref="L14:N14"/>
    <mergeCell ref="C15:E15"/>
    <mergeCell ref="F15:H15"/>
    <mergeCell ref="I15:K15"/>
    <mergeCell ref="L15:N15"/>
    <mergeCell ref="C16:E16"/>
    <mergeCell ref="F16:H16"/>
    <mergeCell ref="I16:K16"/>
    <mergeCell ref="L16:N16"/>
    <mergeCell ref="C9:E9"/>
    <mergeCell ref="F9:H9"/>
    <mergeCell ref="I9:K9"/>
    <mergeCell ref="L9:N9"/>
    <mergeCell ref="C10:E10"/>
    <mergeCell ref="F10:H10"/>
    <mergeCell ref="I10:K10"/>
    <mergeCell ref="L10:N10"/>
    <mergeCell ref="C11:E11"/>
    <mergeCell ref="F11:H11"/>
    <mergeCell ref="I11:K11"/>
    <mergeCell ref="L11:N11"/>
  </mergeCells>
  <phoneticPr fontId="1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1C5C-7CAD-4D86-AFD8-834974495A36}">
  <sheetPr codeName="Sheet6"/>
  <dimension ref="A1:K99"/>
  <sheetViews>
    <sheetView zoomScale="80" zoomScaleNormal="80" workbookViewId="0">
      <selection activeCell="R19" sqref="R19"/>
    </sheetView>
  </sheetViews>
  <sheetFormatPr defaultColWidth="8.7265625" defaultRowHeight="14.5"/>
  <cols>
    <col min="1" max="10" width="8.7265625" style="6"/>
    <col min="11" max="11" width="8.7265625" style="6" customWidth="1"/>
    <col min="12" max="16384" width="8.7265625" style="6"/>
  </cols>
  <sheetData>
    <row r="1" spans="1:11">
      <c r="A1" s="7" t="str">
        <f>IF('LC Raw Results'!A2&gt;1, RIGHT('LC Raw Results'!A2, LEN('LC Raw Results'!A2)-12), "Select All in .txt Export File and Paste into Cell A2")</f>
        <v>Select All in .txt Export File and Paste into Cell A2</v>
      </c>
    </row>
    <row r="2" spans="1:11">
      <c r="A2" s="19"/>
      <c r="J2" s="49"/>
    </row>
    <row r="4" spans="1:11">
      <c r="F4" s="23"/>
      <c r="J4" s="50"/>
      <c r="K4" s="50"/>
    </row>
    <row r="5" spans="1:11">
      <c r="F5" s="23"/>
    </row>
    <row r="6" spans="1:11">
      <c r="F6" s="23"/>
    </row>
    <row r="7" spans="1:11">
      <c r="F7" s="23"/>
      <c r="J7" s="50"/>
      <c r="K7" s="50"/>
    </row>
    <row r="8" spans="1:11">
      <c r="F8" s="23"/>
    </row>
    <row r="9" spans="1:11">
      <c r="F9" s="23"/>
    </row>
    <row r="10" spans="1:11">
      <c r="F10" s="23"/>
    </row>
    <row r="11" spans="1:11">
      <c r="F11" s="23"/>
    </row>
    <row r="12" spans="1:11">
      <c r="F12" s="23"/>
    </row>
    <row r="13" spans="1:11">
      <c r="F13" s="23"/>
    </row>
    <row r="14" spans="1:11">
      <c r="F14" s="23"/>
    </row>
    <row r="15" spans="1:11">
      <c r="F15" s="23"/>
    </row>
    <row r="16" spans="1:11">
      <c r="F16" s="23"/>
      <c r="J16" s="50"/>
      <c r="K16" s="50"/>
    </row>
    <row r="17" spans="6:11">
      <c r="F17" s="23"/>
    </row>
    <row r="18" spans="6:11">
      <c r="F18" s="23"/>
    </row>
    <row r="19" spans="6:11">
      <c r="F19" s="23"/>
    </row>
    <row r="20" spans="6:11">
      <c r="F20" s="23"/>
    </row>
    <row r="21" spans="6:11">
      <c r="F21" s="23"/>
    </row>
    <row r="22" spans="6:11">
      <c r="F22" s="23"/>
    </row>
    <row r="23" spans="6:11">
      <c r="F23" s="23"/>
    </row>
    <row r="24" spans="6:11">
      <c r="F24" s="23"/>
    </row>
    <row r="27" spans="6:11">
      <c r="F27" s="23"/>
    </row>
    <row r="28" spans="6:11">
      <c r="F28" s="23"/>
      <c r="J28" s="50"/>
      <c r="K28" s="50"/>
    </row>
    <row r="29" spans="6:11">
      <c r="F29" s="23"/>
    </row>
    <row r="30" spans="6:11">
      <c r="F30" s="23"/>
    </row>
    <row r="31" spans="6:11">
      <c r="F31" s="23"/>
    </row>
    <row r="32" spans="6:11">
      <c r="F32" s="23"/>
    </row>
    <row r="33" spans="6:11">
      <c r="F33" s="23"/>
    </row>
    <row r="34" spans="6:11">
      <c r="F34" s="23"/>
    </row>
    <row r="35" spans="6:11">
      <c r="F35" s="23"/>
    </row>
    <row r="36" spans="6:11">
      <c r="F36" s="23"/>
    </row>
    <row r="37" spans="6:11">
      <c r="F37" s="23"/>
    </row>
    <row r="38" spans="6:11">
      <c r="F38" s="23"/>
    </row>
    <row r="39" spans="6:11">
      <c r="F39" s="23"/>
    </row>
    <row r="40" spans="6:11">
      <c r="F40" s="23"/>
      <c r="J40" s="50"/>
      <c r="K40" s="50"/>
    </row>
    <row r="41" spans="6:11">
      <c r="F41" s="23"/>
    </row>
    <row r="42" spans="6:11">
      <c r="F42" s="23"/>
    </row>
    <row r="43" spans="6:11">
      <c r="F43" s="23"/>
    </row>
    <row r="44" spans="6:11">
      <c r="F44" s="23"/>
    </row>
    <row r="45" spans="6:11">
      <c r="F45" s="23"/>
    </row>
    <row r="46" spans="6:11">
      <c r="F46" s="23"/>
    </row>
    <row r="47" spans="6:11">
      <c r="F47" s="23"/>
    </row>
    <row r="48" spans="6:11">
      <c r="F48" s="23"/>
    </row>
    <row r="49" spans="6:11">
      <c r="F49" s="23"/>
    </row>
    <row r="50" spans="6:11">
      <c r="F50" s="23"/>
    </row>
    <row r="51" spans="6:11">
      <c r="F51" s="23"/>
    </row>
    <row r="52" spans="6:11">
      <c r="F52" s="23"/>
      <c r="J52" s="50"/>
      <c r="K52" s="50"/>
    </row>
    <row r="53" spans="6:11">
      <c r="F53" s="23"/>
    </row>
    <row r="54" spans="6:11">
      <c r="F54" s="23"/>
    </row>
    <row r="55" spans="6:11">
      <c r="F55" s="23"/>
    </row>
    <row r="56" spans="6:11">
      <c r="F56" s="23"/>
    </row>
    <row r="57" spans="6:11">
      <c r="F57" s="23"/>
    </row>
    <row r="59" spans="6:11">
      <c r="F59" s="23"/>
    </row>
    <row r="60" spans="6:11">
      <c r="F60" s="23"/>
    </row>
    <row r="61" spans="6:11">
      <c r="F61" s="23"/>
    </row>
    <row r="62" spans="6:11">
      <c r="F62" s="23"/>
    </row>
    <row r="63" spans="6:11">
      <c r="F63" s="23"/>
    </row>
    <row r="64" spans="6:11">
      <c r="F64" s="23"/>
      <c r="J64" s="50"/>
      <c r="K64" s="50"/>
    </row>
    <row r="65" spans="6:11">
      <c r="F65" s="23"/>
    </row>
    <row r="66" spans="6:11">
      <c r="F66" s="23"/>
    </row>
    <row r="67" spans="6:11">
      <c r="F67" s="23"/>
    </row>
    <row r="68" spans="6:11">
      <c r="F68" s="23"/>
    </row>
    <row r="69" spans="6:11">
      <c r="F69" s="23"/>
    </row>
    <row r="70" spans="6:11">
      <c r="F70" s="23"/>
    </row>
    <row r="71" spans="6:11">
      <c r="F71" s="23"/>
    </row>
    <row r="72" spans="6:11">
      <c r="F72" s="23"/>
    </row>
    <row r="73" spans="6:11">
      <c r="F73" s="23"/>
    </row>
    <row r="74" spans="6:11">
      <c r="F74" s="23"/>
    </row>
    <row r="75" spans="6:11">
      <c r="F75" s="23"/>
    </row>
    <row r="76" spans="6:11">
      <c r="F76" s="23"/>
      <c r="J76" s="50"/>
      <c r="K76" s="50"/>
    </row>
    <row r="77" spans="6:11">
      <c r="F77" s="23"/>
    </row>
    <row r="78" spans="6:11">
      <c r="F78" s="23"/>
    </row>
    <row r="79" spans="6:11">
      <c r="F79" s="23"/>
    </row>
    <row r="80" spans="6:11">
      <c r="F80" s="23"/>
    </row>
    <row r="81" spans="6:11">
      <c r="F81" s="23"/>
    </row>
    <row r="82" spans="6:11">
      <c r="F82" s="23"/>
    </row>
    <row r="83" spans="6:11">
      <c r="F83" s="23"/>
    </row>
    <row r="84" spans="6:11">
      <c r="F84" s="23"/>
    </row>
    <row r="85" spans="6:11">
      <c r="F85" s="23"/>
    </row>
    <row r="86" spans="6:11">
      <c r="F86" s="23"/>
    </row>
    <row r="87" spans="6:11">
      <c r="F87" s="23"/>
    </row>
    <row r="88" spans="6:11">
      <c r="J88" s="50"/>
      <c r="K88" s="50"/>
    </row>
    <row r="91" spans="6:11">
      <c r="F91" s="23"/>
    </row>
    <row r="92" spans="6:11">
      <c r="F92" s="23"/>
    </row>
    <row r="93" spans="6:11">
      <c r="F93" s="23"/>
    </row>
    <row r="94" spans="6:11">
      <c r="F94" s="23"/>
    </row>
    <row r="97" spans="6:6">
      <c r="F97" s="23"/>
    </row>
    <row r="98" spans="6:6">
      <c r="F98" s="23"/>
    </row>
    <row r="99" spans="6:6">
      <c r="F99" s="2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E3CF-BFAE-4CE2-9629-7129A1D25771}">
  <sheetPr codeName="Sheet3"/>
  <dimension ref="B3:AD41"/>
  <sheetViews>
    <sheetView zoomScale="80" zoomScaleNormal="80" workbookViewId="0"/>
  </sheetViews>
  <sheetFormatPr defaultRowHeight="14.5"/>
  <cols>
    <col min="6" max="6" width="8.54296875" customWidth="1"/>
    <col min="9" max="9" width="8.7265625" customWidth="1"/>
    <col min="23" max="23" width="8.7265625" style="3"/>
    <col min="27" max="27" width="28.54296875" bestFit="1" customWidth="1"/>
    <col min="30" max="30" width="15" bestFit="1" customWidth="1"/>
  </cols>
  <sheetData>
    <row r="3" spans="2:30">
      <c r="B3" s="10" t="s">
        <v>266</v>
      </c>
      <c r="P3" s="10" t="s">
        <v>265</v>
      </c>
      <c r="Y3" s="10" t="s">
        <v>208</v>
      </c>
    </row>
    <row r="4" spans="2:30">
      <c r="C4" s="10"/>
      <c r="P4" s="10"/>
      <c r="Y4" s="1" t="s">
        <v>163</v>
      </c>
    </row>
    <row r="5" spans="2:30">
      <c r="B5" s="24"/>
      <c r="C5" s="24">
        <v>1</v>
      </c>
      <c r="D5" s="24">
        <v>2</v>
      </c>
      <c r="E5" s="24">
        <v>3</v>
      </c>
      <c r="F5" s="24">
        <v>4</v>
      </c>
      <c r="G5" s="24">
        <v>5</v>
      </c>
      <c r="H5" s="24">
        <v>6</v>
      </c>
      <c r="I5" s="24">
        <v>7</v>
      </c>
      <c r="J5" s="24">
        <v>8</v>
      </c>
      <c r="K5" s="24">
        <v>9</v>
      </c>
      <c r="L5" s="24">
        <v>10</v>
      </c>
      <c r="M5" s="24">
        <v>11</v>
      </c>
      <c r="N5" s="24">
        <v>12</v>
      </c>
      <c r="O5" s="1"/>
      <c r="P5" s="24" t="s">
        <v>267</v>
      </c>
      <c r="Q5" s="24" t="s">
        <v>268</v>
      </c>
      <c r="R5" s="24" t="s">
        <v>269</v>
      </c>
      <c r="S5" s="24" t="s">
        <v>270</v>
      </c>
      <c r="T5" s="24" t="s">
        <v>166</v>
      </c>
      <c r="U5" s="24" t="s">
        <v>293</v>
      </c>
      <c r="W5" s="24" t="s">
        <v>285</v>
      </c>
      <c r="Y5" s="1" t="s">
        <v>164</v>
      </c>
      <c r="AA5" s="1" t="s">
        <v>287</v>
      </c>
      <c r="AD5" s="1" t="s">
        <v>289</v>
      </c>
    </row>
    <row r="6" spans="2:30">
      <c r="B6" s="24" t="s">
        <v>11</v>
      </c>
      <c r="C6" s="3" t="s">
        <v>241</v>
      </c>
      <c r="D6" s="3" t="s">
        <v>242</v>
      </c>
      <c r="E6" s="3" t="s">
        <v>243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3" t="s">
        <v>44</v>
      </c>
      <c r="M6" s="3" t="s">
        <v>45</v>
      </c>
      <c r="N6" s="3" t="s">
        <v>46</v>
      </c>
      <c r="P6" s="3" t="s">
        <v>274</v>
      </c>
      <c r="Q6" s="2" t="e">
        <f t="array" ref="Q6">_xlfn.ANCHORARRAY(C18)</f>
        <v>#VALUE!</v>
      </c>
      <c r="R6" s="2"/>
      <c r="S6" s="2"/>
      <c r="T6" s="2">
        <f>IFERROR(AVERAGEIF(_xlfn.ANCHORARRAY(Q6),"&lt;&gt;0"),0)</f>
        <v>0</v>
      </c>
      <c r="U6" s="2">
        <f>IFERROR((_xlfn.STDEV.P(Q6:S6)/SQRT(3)),0)</f>
        <v>0</v>
      </c>
      <c r="W6" s="3" t="e">
        <f>AVERAGE(_xlfn.ANCHORARRAY(C30))</f>
        <v>#VALUE!</v>
      </c>
      <c r="AA6" s="3">
        <f>IF(T6=0,0,10^((T6-'LC Analysis'!$V$37)/'LC Analysis'!$V$38))</f>
        <v>0</v>
      </c>
      <c r="AB6" s="31"/>
      <c r="AD6" s="30">
        <f>IF($Y$17="Yes",W6,AA6)</f>
        <v>0</v>
      </c>
    </row>
    <row r="7" spans="2:30">
      <c r="B7" s="24" t="s">
        <v>12</v>
      </c>
      <c r="C7" s="3" t="s">
        <v>244</v>
      </c>
      <c r="D7" s="3" t="s">
        <v>245</v>
      </c>
      <c r="E7" s="3" t="s">
        <v>246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52</v>
      </c>
      <c r="L7" s="3" t="s">
        <v>53</v>
      </c>
      <c r="M7" s="3" t="s">
        <v>54</v>
      </c>
      <c r="N7" s="3" t="s">
        <v>55</v>
      </c>
      <c r="P7" s="3" t="s">
        <v>275</v>
      </c>
      <c r="Q7" s="2" t="e">
        <f t="array" ref="Q7">_xlfn.ANCHORARRAY(C19)</f>
        <v>#VALUE!</v>
      </c>
      <c r="R7" s="2"/>
      <c r="S7" s="2"/>
      <c r="T7" s="2">
        <f t="shared" ref="T7:T13" si="0">IFERROR(AVERAGEIF(_xlfn.ANCHORARRAY(Q7),"&lt;&gt;0"),0)</f>
        <v>0</v>
      </c>
      <c r="U7" s="2">
        <f t="shared" ref="U7:U13" si="1">IFERROR((_xlfn.STDEV.P(Q7:S7)/SQRT(3)),0)</f>
        <v>0</v>
      </c>
      <c r="W7" s="30" t="e">
        <f t="shared" ref="W7:W13" si="2">AVERAGE(_xlfn.ANCHORARRAY(C31))</f>
        <v>#VALUE!</v>
      </c>
      <c r="AA7" s="3">
        <f>IF(T7=0,0,10^((T7-'LC Analysis'!$V$37)/'LC Analysis'!$V$38))</f>
        <v>0</v>
      </c>
      <c r="AB7" s="31"/>
      <c r="AD7" s="30">
        <f t="shared" ref="AD7:AD13" si="3">IF($Y$17="Yes",W7,AA7)</f>
        <v>0</v>
      </c>
    </row>
    <row r="8" spans="2:30">
      <c r="B8" s="24" t="s">
        <v>13</v>
      </c>
      <c r="C8" s="3" t="s">
        <v>247</v>
      </c>
      <c r="D8" s="3" t="s">
        <v>248</v>
      </c>
      <c r="E8" s="3" t="s">
        <v>249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  <c r="L8" s="3" t="s">
        <v>62</v>
      </c>
      <c r="M8" s="3" t="s">
        <v>63</v>
      </c>
      <c r="N8" s="3" t="s">
        <v>64</v>
      </c>
      <c r="P8" s="3" t="s">
        <v>276</v>
      </c>
      <c r="Q8" s="2" t="e">
        <f t="array" ref="Q8">_xlfn.ANCHORARRAY(C20)</f>
        <v>#VALUE!</v>
      </c>
      <c r="R8" s="2"/>
      <c r="S8" s="2"/>
      <c r="T8" s="2">
        <f t="shared" si="0"/>
        <v>0</v>
      </c>
      <c r="U8" s="2">
        <f t="shared" si="1"/>
        <v>0</v>
      </c>
      <c r="W8" s="30" t="e">
        <f t="shared" si="2"/>
        <v>#VALUE!</v>
      </c>
      <c r="AA8" s="3">
        <f>IF(T8=0,0,10^((T8-'LC Analysis'!$V$37)/'LC Analysis'!$V$38))</f>
        <v>0</v>
      </c>
      <c r="AB8" s="31"/>
      <c r="AD8" s="30">
        <f t="shared" si="3"/>
        <v>0</v>
      </c>
    </row>
    <row r="9" spans="2:30">
      <c r="B9" s="24" t="s">
        <v>14</v>
      </c>
      <c r="C9" s="3" t="s">
        <v>250</v>
      </c>
      <c r="D9" s="3" t="s">
        <v>251</v>
      </c>
      <c r="E9" s="3" t="s">
        <v>252</v>
      </c>
      <c r="F9" s="3" t="s">
        <v>65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70</v>
      </c>
      <c r="L9" s="3" t="s">
        <v>71</v>
      </c>
      <c r="M9" s="3" t="s">
        <v>72</v>
      </c>
      <c r="N9" s="3" t="s">
        <v>73</v>
      </c>
      <c r="P9" s="3" t="s">
        <v>277</v>
      </c>
      <c r="Q9" s="2" t="e">
        <f t="array" ref="Q9">_xlfn.ANCHORARRAY(C21)</f>
        <v>#VALUE!</v>
      </c>
      <c r="R9" s="2"/>
      <c r="S9" s="2"/>
      <c r="T9" s="2">
        <f t="shared" si="0"/>
        <v>0</v>
      </c>
      <c r="U9" s="2">
        <f t="shared" si="1"/>
        <v>0</v>
      </c>
      <c r="W9" s="30" t="e">
        <f t="shared" si="2"/>
        <v>#VALUE!</v>
      </c>
      <c r="AA9" s="3">
        <f>IF(T9=0,0,10^((T9-'LC Analysis'!$V$37)/'LC Analysis'!$V$38))</f>
        <v>0</v>
      </c>
      <c r="AB9" s="31"/>
      <c r="AD9" s="30">
        <f t="shared" si="3"/>
        <v>0</v>
      </c>
    </row>
    <row r="10" spans="2:30">
      <c r="B10" s="24" t="s">
        <v>15</v>
      </c>
      <c r="C10" s="3" t="s">
        <v>253</v>
      </c>
      <c r="D10" s="3" t="s">
        <v>254</v>
      </c>
      <c r="E10" s="3" t="s">
        <v>255</v>
      </c>
      <c r="F10" s="3" t="s">
        <v>74</v>
      </c>
      <c r="G10" s="3" t="s">
        <v>75</v>
      </c>
      <c r="H10" s="3" t="s">
        <v>76</v>
      </c>
      <c r="I10" s="3" t="s">
        <v>77</v>
      </c>
      <c r="J10" s="3" t="s">
        <v>78</v>
      </c>
      <c r="K10" s="3" t="s">
        <v>79</v>
      </c>
      <c r="L10" s="3" t="s">
        <v>80</v>
      </c>
      <c r="M10" s="3" t="s">
        <v>81</v>
      </c>
      <c r="N10" s="3" t="s">
        <v>82</v>
      </c>
      <c r="P10" s="3" t="s">
        <v>278</v>
      </c>
      <c r="Q10" s="2" t="e">
        <f t="array" ref="Q10">_xlfn.ANCHORARRAY(C22)</f>
        <v>#VALUE!</v>
      </c>
      <c r="R10" s="2"/>
      <c r="S10" s="2"/>
      <c r="T10" s="2">
        <f t="shared" si="0"/>
        <v>0</v>
      </c>
      <c r="U10" s="2">
        <f t="shared" si="1"/>
        <v>0</v>
      </c>
      <c r="W10" s="30" t="e">
        <f t="shared" si="2"/>
        <v>#VALUE!</v>
      </c>
      <c r="AA10" s="3">
        <f>IF(T10=0,0,10^((T10-'LC Analysis'!$V$37)/'LC Analysis'!$V$38))</f>
        <v>0</v>
      </c>
      <c r="AB10" s="31"/>
      <c r="AD10" s="30">
        <f t="shared" si="3"/>
        <v>0</v>
      </c>
    </row>
    <row r="11" spans="2:30">
      <c r="B11" s="24" t="s">
        <v>16</v>
      </c>
      <c r="C11" s="3" t="s">
        <v>256</v>
      </c>
      <c r="D11" s="3" t="s">
        <v>257</v>
      </c>
      <c r="E11" s="3" t="s">
        <v>258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  <c r="L11" s="3" t="s">
        <v>89</v>
      </c>
      <c r="M11" s="3" t="s">
        <v>90</v>
      </c>
      <c r="N11" s="3" t="s">
        <v>91</v>
      </c>
      <c r="P11" s="3" t="s">
        <v>279</v>
      </c>
      <c r="Q11" s="2" t="e">
        <f t="array" ref="Q11">_xlfn.ANCHORARRAY(C23)</f>
        <v>#VALUE!</v>
      </c>
      <c r="R11" s="2"/>
      <c r="S11" s="2"/>
      <c r="T11" s="2">
        <f t="shared" si="0"/>
        <v>0</v>
      </c>
      <c r="U11" s="2">
        <f t="shared" si="1"/>
        <v>0</v>
      </c>
      <c r="W11" s="30" t="e">
        <f t="shared" si="2"/>
        <v>#VALUE!</v>
      </c>
      <c r="AA11" s="3">
        <f>IF(T11=0,0,10^((T11-'LC Analysis'!$V$37)/'LC Analysis'!$V$38))</f>
        <v>0</v>
      </c>
      <c r="AB11" s="31"/>
      <c r="AD11" s="30">
        <f t="shared" si="3"/>
        <v>0</v>
      </c>
    </row>
    <row r="12" spans="2:30">
      <c r="B12" s="24" t="s">
        <v>17</v>
      </c>
      <c r="C12" s="3" t="s">
        <v>259</v>
      </c>
      <c r="D12" s="3" t="s">
        <v>260</v>
      </c>
      <c r="E12" s="3" t="s">
        <v>261</v>
      </c>
      <c r="F12" s="3" t="s">
        <v>92</v>
      </c>
      <c r="G12" s="3" t="s">
        <v>93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99</v>
      </c>
      <c r="N12" s="3" t="s">
        <v>100</v>
      </c>
      <c r="P12" s="3" t="s">
        <v>280</v>
      </c>
      <c r="Q12" s="2" t="e">
        <f t="array" ref="Q12">_xlfn.ANCHORARRAY(C24)</f>
        <v>#VALUE!</v>
      </c>
      <c r="R12" s="2"/>
      <c r="S12" s="2"/>
      <c r="T12" s="2">
        <f t="shared" si="0"/>
        <v>0</v>
      </c>
      <c r="U12" s="2">
        <f t="shared" si="1"/>
        <v>0</v>
      </c>
      <c r="W12" s="30" t="e">
        <f t="shared" si="2"/>
        <v>#VALUE!</v>
      </c>
      <c r="AA12" s="3">
        <f>IF(T12=0,0,10^((T12-'LC Analysis'!$V$37)/'LC Analysis'!$V$38))</f>
        <v>0</v>
      </c>
      <c r="AB12" s="31"/>
      <c r="AD12" s="30">
        <f t="shared" si="3"/>
        <v>0</v>
      </c>
    </row>
    <row r="13" spans="2:30">
      <c r="B13" s="24" t="s">
        <v>18</v>
      </c>
      <c r="C13" s="3" t="s">
        <v>262</v>
      </c>
      <c r="D13" s="3" t="s">
        <v>263</v>
      </c>
      <c r="E13" s="3" t="s">
        <v>264</v>
      </c>
      <c r="F13" s="3" t="s">
        <v>101</v>
      </c>
      <c r="G13" s="3" t="s">
        <v>102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108</v>
      </c>
      <c r="N13" s="3" t="s">
        <v>109</v>
      </c>
      <c r="P13" s="3" t="s">
        <v>19</v>
      </c>
      <c r="Q13" s="2" t="e">
        <f t="array" ref="Q13">_xlfn.ANCHORARRAY(C25)</f>
        <v>#VALUE!</v>
      </c>
      <c r="R13" s="2"/>
      <c r="S13" s="2"/>
      <c r="T13" s="2">
        <f t="shared" si="0"/>
        <v>0</v>
      </c>
      <c r="U13" s="2">
        <f t="shared" si="1"/>
        <v>0</v>
      </c>
      <c r="W13" s="3" t="e">
        <f t="shared" si="2"/>
        <v>#VALUE!</v>
      </c>
      <c r="AA13" s="30">
        <f>IF(T13=0,0,10^((T13-'LC Analysis'!$V$37)/'LC Analysis'!$V$38))</f>
        <v>0</v>
      </c>
      <c r="AD13" s="30">
        <f t="shared" si="3"/>
        <v>0</v>
      </c>
    </row>
    <row r="14" spans="2:30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3"/>
      <c r="Q14" s="3"/>
      <c r="R14" s="3"/>
      <c r="S14" s="3"/>
      <c r="T14" s="2"/>
      <c r="U14" s="2"/>
    </row>
    <row r="15" spans="2:30">
      <c r="B15" s="27" t="s">
        <v>273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P15" s="10" t="s">
        <v>281</v>
      </c>
    </row>
    <row r="16" spans="2:30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Y16" s="1" t="s">
        <v>286</v>
      </c>
    </row>
    <row r="17" spans="2:30">
      <c r="B17" s="3"/>
      <c r="C17" s="24">
        <v>1</v>
      </c>
      <c r="D17" s="24">
        <v>2</v>
      </c>
      <c r="E17" s="24">
        <v>3</v>
      </c>
      <c r="F17" s="24">
        <v>4</v>
      </c>
      <c r="G17" s="24">
        <v>5</v>
      </c>
      <c r="H17" s="24">
        <v>6</v>
      </c>
      <c r="I17" s="24">
        <v>7</v>
      </c>
      <c r="J17" s="24">
        <v>8</v>
      </c>
      <c r="K17" s="24">
        <v>9</v>
      </c>
      <c r="L17" s="24">
        <v>10</v>
      </c>
      <c r="M17" s="24">
        <v>11</v>
      </c>
      <c r="N17" s="24">
        <v>12</v>
      </c>
      <c r="P17" s="24" t="s">
        <v>267</v>
      </c>
      <c r="Q17" s="24" t="s">
        <v>268</v>
      </c>
      <c r="R17" s="24" t="s">
        <v>269</v>
      </c>
      <c r="S17" s="24" t="s">
        <v>270</v>
      </c>
      <c r="T17" s="24" t="s">
        <v>166</v>
      </c>
      <c r="U17" s="24" t="s">
        <v>293</v>
      </c>
      <c r="W17" s="24" t="s">
        <v>285</v>
      </c>
      <c r="Y17" s="3" t="str">
        <f>IF(SUM(_xlfn._xlws.FILTER('LC Raw Results'!F4:F6,1))=0,"No","Yes")</f>
        <v>No</v>
      </c>
      <c r="AA17" s="1" t="s">
        <v>287</v>
      </c>
      <c r="AD17" s="1" t="s">
        <v>289</v>
      </c>
    </row>
    <row r="18" spans="2:30">
      <c r="B18" s="24" t="s">
        <v>11</v>
      </c>
      <c r="C18" s="3" t="e">
        <f t="array" ref="C18">TRANSPOSE(_xlfn._xlws.FILTER('LC Raw Results'!$E:$E,('LC Raw Results'!$C:$C='LC Calculations'!C6)+('LC Raw Results'!$C:$C='LC Calculations'!D6)+('LC Raw Results'!$C:$C='LC Calculations'!E6)))</f>
        <v>#VALUE!</v>
      </c>
      <c r="D18" s="3"/>
      <c r="E18" s="3"/>
      <c r="F18" s="3" t="e">
        <f t="array" ref="F18">TRANSPOSE(_xlfn._xlws.FILTER('LC Raw Results'!$E:$E,('LC Raw Results'!$C:$C='LC Calculations'!F6)+('LC Raw Results'!$C:$C='LC Calculations'!G6)+('LC Raw Results'!$C:$C='LC Calculations'!H6)))</f>
        <v>#VALUE!</v>
      </c>
      <c r="G18" s="3"/>
      <c r="H18" s="3"/>
      <c r="I18" s="3" t="e">
        <f t="array" ref="I18">TRANSPOSE(_xlfn._xlws.FILTER('LC Raw Results'!$E:$E,('LC Raw Results'!$C:$C='LC Calculations'!I6)+('LC Raw Results'!$C:$C='LC Calculations'!J6)+('LC Raw Results'!$C:$C='LC Calculations'!K6)))</f>
        <v>#VALUE!</v>
      </c>
      <c r="J18" s="3"/>
      <c r="K18" s="3"/>
      <c r="L18" s="3" t="e">
        <f t="array" ref="L18">TRANSPOSE(_xlfn._xlws.FILTER('LC Raw Results'!$E:$E,('LC Raw Results'!$C:$C='LC Calculations'!L6)+('LC Raw Results'!$C:$C='LC Calculations'!M6)+('LC Raw Results'!$C:$C='LC Calculations'!N6)))</f>
        <v>#VALUE!</v>
      </c>
      <c r="M18" s="3"/>
      <c r="N18" s="3"/>
      <c r="P18" s="3">
        <v>1</v>
      </c>
      <c r="Q18" s="2" t="e">
        <f t="array" ref="Q18">_xlfn.ANCHORARRAY(F18)</f>
        <v>#VALUE!</v>
      </c>
      <c r="R18" s="2"/>
      <c r="S18" s="2"/>
      <c r="T18" s="2">
        <f>IFERROR(AVERAGEIF(_xlfn.ANCHORARRAY(Q18),"&lt;&gt;0"),0)</f>
        <v>0</v>
      </c>
      <c r="U18" s="2">
        <f>IFERROR((_xlfn.STDEV.P(Q18:S18)/SQRT(3)),0)</f>
        <v>0</v>
      </c>
      <c r="W18" s="30" t="e">
        <f>AVERAGE(_xlfn.ANCHORARRAY(F30))</f>
        <v>#VALUE!</v>
      </c>
      <c r="AA18" s="30">
        <f>IF(T18=0,0,10^((T18-'LC Analysis'!$V$37)/'LC Analysis'!$V$38))</f>
        <v>0</v>
      </c>
      <c r="AB18" s="31"/>
      <c r="AD18" s="30">
        <f>IF($Y$17="Yes",W18,AA18)</f>
        <v>0</v>
      </c>
    </row>
    <row r="19" spans="2:30">
      <c r="B19" s="24" t="s">
        <v>12</v>
      </c>
      <c r="C19" s="3" t="e">
        <f t="array" ref="C19">TRANSPOSE(_xlfn._xlws.FILTER('LC Raw Results'!$E:$E,('LC Raw Results'!$C:$C='LC Calculations'!C7)+('LC Raw Results'!$C:$C='LC Calculations'!D7)+('LC Raw Results'!$C:$C='LC Calculations'!E7)))</f>
        <v>#VALUE!</v>
      </c>
      <c r="D19" s="3"/>
      <c r="E19" s="3"/>
      <c r="F19" s="3" t="e">
        <f t="array" ref="F19">TRANSPOSE(_xlfn._xlws.FILTER('LC Raw Results'!$E:$E,('LC Raw Results'!$C:$C='LC Calculations'!F7)+('LC Raw Results'!$C:$C='LC Calculations'!G7)+('LC Raw Results'!$C:$C='LC Calculations'!H7)))</f>
        <v>#VALUE!</v>
      </c>
      <c r="G19" s="3"/>
      <c r="H19" s="3"/>
      <c r="I19" s="3" t="e">
        <f t="array" ref="I19">TRANSPOSE(_xlfn._xlws.FILTER('LC Raw Results'!$E:$E,('LC Raw Results'!$C:$C='LC Calculations'!I7)+('LC Raw Results'!$C:$C='LC Calculations'!J7)+('LC Raw Results'!$C:$C='LC Calculations'!K7)))</f>
        <v>#VALUE!</v>
      </c>
      <c r="J19" s="3"/>
      <c r="K19" s="3"/>
      <c r="L19" s="3" t="e">
        <f t="array" ref="L19">TRANSPOSE(_xlfn._xlws.FILTER('LC Raw Results'!$E:$E,('LC Raw Results'!$C:$C='LC Calculations'!L7)+('LC Raw Results'!$C:$C='LC Calculations'!M7)+('LC Raw Results'!$C:$C='LC Calculations'!N7)))</f>
        <v>#VALUE!</v>
      </c>
      <c r="M19" s="3"/>
      <c r="N19" s="3"/>
      <c r="P19" s="3">
        <v>2</v>
      </c>
      <c r="Q19" s="2" t="e">
        <f t="array" ref="Q19">_xlfn.ANCHORARRAY(F19)</f>
        <v>#VALUE!</v>
      </c>
      <c r="R19" s="2"/>
      <c r="S19" s="2"/>
      <c r="T19" s="2">
        <f t="shared" ref="T19:T41" si="4">IFERROR(AVERAGEIF(_xlfn.ANCHORARRAY(Q19),"&lt;&gt;0"),0)</f>
        <v>0</v>
      </c>
      <c r="U19" s="2">
        <f t="shared" ref="U19:U39" si="5">IFERROR((_xlfn.STDEV.P(Q19:S19)/SQRT(3)),0)</f>
        <v>0</v>
      </c>
      <c r="W19" s="30" t="e">
        <f t="shared" ref="W19:W25" si="6">AVERAGE(_xlfn.ANCHORARRAY(F31))</f>
        <v>#VALUE!</v>
      </c>
      <c r="AA19" s="30">
        <f>IF(T19=0,0,10^((T19-'LC Analysis'!$V$37)/'LC Analysis'!$V$38))</f>
        <v>0</v>
      </c>
      <c r="AB19" s="31"/>
      <c r="AD19" s="30">
        <f t="shared" ref="AD19:AD41" si="7">IF($Y$17="Yes",W19,AA19)</f>
        <v>0</v>
      </c>
    </row>
    <row r="20" spans="2:30">
      <c r="B20" s="24" t="s">
        <v>13</v>
      </c>
      <c r="C20" s="3" t="e">
        <f t="array" ref="C20">TRANSPOSE(_xlfn._xlws.FILTER('LC Raw Results'!$E:$E,('LC Raw Results'!$C:$C='LC Calculations'!C8)+('LC Raw Results'!$C:$C='LC Calculations'!D8)+('LC Raw Results'!$C:$C='LC Calculations'!E8)))</f>
        <v>#VALUE!</v>
      </c>
      <c r="D20" s="3"/>
      <c r="E20" s="3"/>
      <c r="F20" s="3" t="e">
        <f t="array" ref="F20">TRANSPOSE(_xlfn._xlws.FILTER('LC Raw Results'!$E:$E,('LC Raw Results'!$C:$C='LC Calculations'!F8)+('LC Raw Results'!$C:$C='LC Calculations'!G8)+('LC Raw Results'!$C:$C='LC Calculations'!H8)))</f>
        <v>#VALUE!</v>
      </c>
      <c r="G20" s="3"/>
      <c r="H20" s="3"/>
      <c r="I20" s="3" t="e">
        <f t="array" ref="I20">TRANSPOSE(_xlfn._xlws.FILTER('LC Raw Results'!$E:$E,('LC Raw Results'!$C:$C='LC Calculations'!I8)+('LC Raw Results'!$C:$C='LC Calculations'!J8)+('LC Raw Results'!$C:$C='LC Calculations'!K8)))</f>
        <v>#VALUE!</v>
      </c>
      <c r="J20" s="3"/>
      <c r="K20" s="3"/>
      <c r="L20" s="3" t="e">
        <f t="array" ref="L20">TRANSPOSE(_xlfn._xlws.FILTER('LC Raw Results'!$E:$E,('LC Raw Results'!$C:$C='LC Calculations'!L8)+('LC Raw Results'!$C:$C='LC Calculations'!M8)+('LC Raw Results'!$C:$C='LC Calculations'!N8)))</f>
        <v>#VALUE!</v>
      </c>
      <c r="M20" s="3"/>
      <c r="N20" s="3"/>
      <c r="P20" s="3">
        <v>3</v>
      </c>
      <c r="Q20" s="2" t="e">
        <f t="array" ref="Q20">_xlfn.ANCHORARRAY(F20)</f>
        <v>#VALUE!</v>
      </c>
      <c r="R20" s="2"/>
      <c r="S20" s="2"/>
      <c r="T20" s="2">
        <f t="shared" si="4"/>
        <v>0</v>
      </c>
      <c r="U20" s="2">
        <f t="shared" si="5"/>
        <v>0</v>
      </c>
      <c r="W20" s="30" t="e">
        <f t="shared" si="6"/>
        <v>#VALUE!</v>
      </c>
      <c r="AA20" s="30">
        <f>IF(T20=0,0,10^((T20-'LC Analysis'!$V$37)/'LC Analysis'!$V$38))</f>
        <v>0</v>
      </c>
      <c r="AB20" s="31"/>
      <c r="AD20" s="30">
        <f t="shared" si="7"/>
        <v>0</v>
      </c>
    </row>
    <row r="21" spans="2:30">
      <c r="B21" s="24" t="s">
        <v>14</v>
      </c>
      <c r="C21" s="3" t="e">
        <f t="array" ref="C21">TRANSPOSE(_xlfn._xlws.FILTER('LC Raw Results'!$E:$E,('LC Raw Results'!$C:$C='LC Calculations'!C9)+('LC Raw Results'!$C:$C='LC Calculations'!D9)+('LC Raw Results'!$C:$C='LC Calculations'!E9)))</f>
        <v>#VALUE!</v>
      </c>
      <c r="D21" s="3"/>
      <c r="E21" s="3"/>
      <c r="F21" s="3" t="e">
        <f t="array" ref="F21">TRANSPOSE(_xlfn._xlws.FILTER('LC Raw Results'!$E:$E,('LC Raw Results'!$C:$C='LC Calculations'!F9)+('LC Raw Results'!$C:$C='LC Calculations'!G9)+('LC Raw Results'!$C:$C='LC Calculations'!H9)))</f>
        <v>#VALUE!</v>
      </c>
      <c r="G21" s="3"/>
      <c r="H21" s="3"/>
      <c r="I21" s="3" t="e">
        <f t="array" ref="I21">TRANSPOSE(_xlfn._xlws.FILTER('LC Raw Results'!$E:$E,('LC Raw Results'!$C:$C='LC Calculations'!I9)+('LC Raw Results'!$C:$C='LC Calculations'!J9)+('LC Raw Results'!$C:$C='LC Calculations'!K9)))</f>
        <v>#VALUE!</v>
      </c>
      <c r="J21" s="3"/>
      <c r="K21" s="3"/>
      <c r="L21" s="3" t="e">
        <f t="array" ref="L21">TRANSPOSE(_xlfn._xlws.FILTER('LC Raw Results'!$E:$E,('LC Raw Results'!$C:$C='LC Calculations'!L9)+('LC Raw Results'!$C:$C='LC Calculations'!M9)+('LC Raw Results'!$C:$C='LC Calculations'!N9)))</f>
        <v>#VALUE!</v>
      </c>
      <c r="M21" s="3"/>
      <c r="N21" s="3"/>
      <c r="P21" s="3">
        <v>4</v>
      </c>
      <c r="Q21" s="2" t="e">
        <f t="array" ref="Q21">_xlfn.ANCHORARRAY(F21)</f>
        <v>#VALUE!</v>
      </c>
      <c r="R21" s="2"/>
      <c r="S21" s="2"/>
      <c r="T21" s="2">
        <f t="shared" si="4"/>
        <v>0</v>
      </c>
      <c r="U21" s="2">
        <f t="shared" si="5"/>
        <v>0</v>
      </c>
      <c r="W21" s="30" t="e">
        <f t="shared" si="6"/>
        <v>#VALUE!</v>
      </c>
      <c r="AA21" s="30">
        <f>IF(T21=0,0,10^((T21-'LC Analysis'!$V$37)/'LC Analysis'!$V$38))</f>
        <v>0</v>
      </c>
      <c r="AB21" s="31"/>
      <c r="AD21" s="30">
        <f t="shared" si="7"/>
        <v>0</v>
      </c>
    </row>
    <row r="22" spans="2:30">
      <c r="B22" s="24" t="s">
        <v>15</v>
      </c>
      <c r="C22" s="3" t="e">
        <f t="array" ref="C22">TRANSPOSE(_xlfn._xlws.FILTER('LC Raw Results'!$E:$E,('LC Raw Results'!$C:$C='LC Calculations'!C10)+('LC Raw Results'!$C:$C='LC Calculations'!D10)+('LC Raw Results'!$C:$C='LC Calculations'!E10)))</f>
        <v>#VALUE!</v>
      </c>
      <c r="D22" s="3"/>
      <c r="E22" s="3"/>
      <c r="F22" s="3" t="e">
        <f t="array" ref="F22">TRANSPOSE(_xlfn._xlws.FILTER('LC Raw Results'!$E:$E,('LC Raw Results'!$C:$C='LC Calculations'!F10)+('LC Raw Results'!$C:$C='LC Calculations'!G10)+('LC Raw Results'!$C:$C='LC Calculations'!H10)))</f>
        <v>#VALUE!</v>
      </c>
      <c r="G22" s="3"/>
      <c r="H22" s="3"/>
      <c r="I22" s="3" t="e">
        <f t="array" ref="I22">TRANSPOSE(_xlfn._xlws.FILTER('LC Raw Results'!$E:$E,('LC Raw Results'!$C:$C='LC Calculations'!I10)+('LC Raw Results'!$C:$C='LC Calculations'!J10)+('LC Raw Results'!$C:$C='LC Calculations'!K10)))</f>
        <v>#VALUE!</v>
      </c>
      <c r="J22" s="3"/>
      <c r="K22" s="3"/>
      <c r="L22" s="3" t="e">
        <f t="array" ref="L22">TRANSPOSE(_xlfn._xlws.FILTER('LC Raw Results'!$E:$E,('LC Raw Results'!$C:$C='LC Calculations'!L10)+('LC Raw Results'!$C:$C='LC Calculations'!M10)+('LC Raw Results'!$C:$C='LC Calculations'!N10)))</f>
        <v>#VALUE!</v>
      </c>
      <c r="M22" s="3"/>
      <c r="N22" s="3"/>
      <c r="P22" s="3">
        <v>5</v>
      </c>
      <c r="Q22" s="2" t="e">
        <f t="array" ref="Q22">_xlfn.ANCHORARRAY(F22)</f>
        <v>#VALUE!</v>
      </c>
      <c r="R22" s="2"/>
      <c r="S22" s="2"/>
      <c r="T22" s="2">
        <f t="shared" si="4"/>
        <v>0</v>
      </c>
      <c r="U22" s="2">
        <f t="shared" si="5"/>
        <v>0</v>
      </c>
      <c r="W22" s="30" t="e">
        <f t="shared" si="6"/>
        <v>#VALUE!</v>
      </c>
      <c r="AA22" s="30">
        <f>IF(T22=0,0,10^((T22-'LC Analysis'!$V$37)/'LC Analysis'!$V$38))</f>
        <v>0</v>
      </c>
      <c r="AB22" s="31"/>
      <c r="AD22" s="30">
        <f t="shared" si="7"/>
        <v>0</v>
      </c>
    </row>
    <row r="23" spans="2:30">
      <c r="B23" s="24" t="s">
        <v>16</v>
      </c>
      <c r="C23" s="3" t="e">
        <f t="array" ref="C23">TRANSPOSE(_xlfn._xlws.FILTER('LC Raw Results'!$E:$E,('LC Raw Results'!$C:$C='LC Calculations'!C11)+('LC Raw Results'!$C:$C='LC Calculations'!D11)+('LC Raw Results'!$C:$C='LC Calculations'!E11)))</f>
        <v>#VALUE!</v>
      </c>
      <c r="D23" s="3"/>
      <c r="E23" s="3"/>
      <c r="F23" s="3" t="e">
        <f t="array" ref="F23">TRANSPOSE(_xlfn._xlws.FILTER('LC Raw Results'!$E:$E,('LC Raw Results'!$C:$C='LC Calculations'!F11)+('LC Raw Results'!$C:$C='LC Calculations'!G11)+('LC Raw Results'!$C:$C='LC Calculations'!H11)))</f>
        <v>#VALUE!</v>
      </c>
      <c r="G23" s="3"/>
      <c r="H23" s="3"/>
      <c r="I23" s="3" t="e">
        <f t="array" ref="I23">TRANSPOSE(_xlfn._xlws.FILTER('LC Raw Results'!$E:$E,('LC Raw Results'!$C:$C='LC Calculations'!I11)+('LC Raw Results'!$C:$C='LC Calculations'!J11)+('LC Raw Results'!$C:$C='LC Calculations'!K11)))</f>
        <v>#VALUE!</v>
      </c>
      <c r="J23" s="3"/>
      <c r="K23" s="3"/>
      <c r="L23" s="3" t="e">
        <f t="array" ref="L23">TRANSPOSE(_xlfn._xlws.FILTER('LC Raw Results'!$E:$E,('LC Raw Results'!$C:$C='LC Calculations'!L11)+('LC Raw Results'!$C:$C='LC Calculations'!M11)+('LC Raw Results'!$C:$C='LC Calculations'!N11)))</f>
        <v>#VALUE!</v>
      </c>
      <c r="M23" s="3"/>
      <c r="N23" s="3"/>
      <c r="P23" s="3">
        <v>6</v>
      </c>
      <c r="Q23" s="2" t="e">
        <f t="array" ref="Q23">_xlfn.ANCHORARRAY(F23)</f>
        <v>#VALUE!</v>
      </c>
      <c r="R23" s="2"/>
      <c r="S23" s="2"/>
      <c r="T23" s="2">
        <f t="shared" si="4"/>
        <v>0</v>
      </c>
      <c r="U23" s="2">
        <f t="shared" si="5"/>
        <v>0</v>
      </c>
      <c r="W23" s="30" t="e">
        <f t="shared" si="6"/>
        <v>#VALUE!</v>
      </c>
      <c r="AA23" s="30">
        <f>IF(T23=0,0,10^((T23-'LC Analysis'!$V$37)/'LC Analysis'!$V$38))</f>
        <v>0</v>
      </c>
      <c r="AB23" s="31"/>
      <c r="AD23" s="30">
        <f t="shared" si="7"/>
        <v>0</v>
      </c>
    </row>
    <row r="24" spans="2:30">
      <c r="B24" s="24" t="s">
        <v>17</v>
      </c>
      <c r="C24" s="3" t="e">
        <f t="array" ref="C24">TRANSPOSE(_xlfn._xlws.FILTER('LC Raw Results'!$E:$E,('LC Raw Results'!$C:$C='LC Calculations'!C12)+('LC Raw Results'!$C:$C='LC Calculations'!D12)+('LC Raw Results'!$C:$C='LC Calculations'!E12)))</f>
        <v>#VALUE!</v>
      </c>
      <c r="D24" s="3"/>
      <c r="E24" s="3"/>
      <c r="F24" s="3" t="e">
        <f t="array" ref="F24">TRANSPOSE(_xlfn._xlws.FILTER('LC Raw Results'!$E:$E,('LC Raw Results'!$C:$C='LC Calculations'!F12)+('LC Raw Results'!$C:$C='LC Calculations'!G12)+('LC Raw Results'!$C:$C='LC Calculations'!H12)))</f>
        <v>#VALUE!</v>
      </c>
      <c r="G24" s="3"/>
      <c r="H24" s="3"/>
      <c r="I24" s="3" t="e">
        <f t="array" ref="I24">TRANSPOSE(_xlfn._xlws.FILTER('LC Raw Results'!$E:$E,('LC Raw Results'!$C:$C='LC Calculations'!I12)+('LC Raw Results'!$C:$C='LC Calculations'!J12)+('LC Raw Results'!$C:$C='LC Calculations'!K12)))</f>
        <v>#VALUE!</v>
      </c>
      <c r="J24" s="3"/>
      <c r="K24" s="3"/>
      <c r="L24" s="3" t="e">
        <f t="array" ref="L24">TRANSPOSE(_xlfn._xlws.FILTER('LC Raw Results'!$E:$E,('LC Raw Results'!$C:$C='LC Calculations'!L12)+('LC Raw Results'!$C:$C='LC Calculations'!M12)+('LC Raw Results'!$C:$C='LC Calculations'!N12)))</f>
        <v>#VALUE!</v>
      </c>
      <c r="M24" s="3"/>
      <c r="N24" s="3"/>
      <c r="P24" s="3">
        <v>7</v>
      </c>
      <c r="Q24" s="2" t="e">
        <f t="array" ref="Q24">_xlfn.ANCHORARRAY(F24)</f>
        <v>#VALUE!</v>
      </c>
      <c r="R24" s="2"/>
      <c r="S24" s="2"/>
      <c r="T24" s="2">
        <f t="shared" si="4"/>
        <v>0</v>
      </c>
      <c r="U24" s="2">
        <f t="shared" si="5"/>
        <v>0</v>
      </c>
      <c r="W24" s="30" t="e">
        <f t="shared" si="6"/>
        <v>#VALUE!</v>
      </c>
      <c r="AA24" s="30">
        <f>IF(T24=0,0,10^((T24-'LC Analysis'!$V$37)/'LC Analysis'!$V$38))</f>
        <v>0</v>
      </c>
      <c r="AB24" s="31"/>
      <c r="AD24" s="30">
        <f t="shared" si="7"/>
        <v>0</v>
      </c>
    </row>
    <row r="25" spans="2:30">
      <c r="B25" s="24" t="s">
        <v>18</v>
      </c>
      <c r="C25" s="3" t="e">
        <f t="array" ref="C25">TRANSPOSE(_xlfn._xlws.FILTER('LC Raw Results'!$E:$E,('LC Raw Results'!$C:$C='LC Calculations'!C13)+('LC Raw Results'!$C:$C='LC Calculations'!D13)+('LC Raw Results'!$C:$C='LC Calculations'!E13)))</f>
        <v>#VALUE!</v>
      </c>
      <c r="D25" s="3"/>
      <c r="E25" s="3"/>
      <c r="F25" s="3" t="e">
        <f t="array" ref="F25">TRANSPOSE(_xlfn._xlws.FILTER('LC Raw Results'!$E:$E,('LC Raw Results'!$C:$C='LC Calculations'!F13)+('LC Raw Results'!$C:$C='LC Calculations'!G13)+('LC Raw Results'!$C:$C='LC Calculations'!H13)))</f>
        <v>#VALUE!</v>
      </c>
      <c r="G25" s="3"/>
      <c r="H25" s="3"/>
      <c r="I25" s="3" t="e">
        <f t="array" ref="I25">TRANSPOSE(_xlfn._xlws.FILTER('LC Raw Results'!$E:$E,('LC Raw Results'!$C:$C='LC Calculations'!I13)+('LC Raw Results'!$C:$C='LC Calculations'!J13)+('LC Raw Results'!$C:$C='LC Calculations'!K13)))</f>
        <v>#VALUE!</v>
      </c>
      <c r="J25" s="3"/>
      <c r="K25" s="3"/>
      <c r="L25" s="3" t="e">
        <f t="array" ref="L25">TRANSPOSE(_xlfn._xlws.FILTER('LC Raw Results'!$E:$E,('LC Raw Results'!$C:$C='LC Calculations'!L13)+('LC Raw Results'!$C:$C='LC Calculations'!M13)+('LC Raw Results'!$C:$C='LC Calculations'!N13)))</f>
        <v>#VALUE!</v>
      </c>
      <c r="M25" s="3"/>
      <c r="N25" s="3"/>
      <c r="P25" s="3">
        <v>8</v>
      </c>
      <c r="Q25" s="2" t="e">
        <f t="array" ref="Q25">_xlfn.ANCHORARRAY(F25)</f>
        <v>#VALUE!</v>
      </c>
      <c r="R25" s="2"/>
      <c r="S25" s="2"/>
      <c r="T25" s="2">
        <f t="shared" si="4"/>
        <v>0</v>
      </c>
      <c r="U25" s="2">
        <f t="shared" si="5"/>
        <v>0</v>
      </c>
      <c r="W25" s="30" t="e">
        <f t="shared" si="6"/>
        <v>#VALUE!</v>
      </c>
      <c r="AA25" s="30">
        <f>IF(T25=0,0,10^((T25-'LC Analysis'!$V$37)/'LC Analysis'!$V$38))</f>
        <v>0</v>
      </c>
      <c r="AB25" s="31"/>
      <c r="AD25" s="30">
        <f t="shared" si="7"/>
        <v>0</v>
      </c>
    </row>
    <row r="26" spans="2:30">
      <c r="B26" s="2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P26" s="3">
        <v>9</v>
      </c>
      <c r="Q26" s="2" t="e">
        <f t="array" ref="Q26">_xlfn.ANCHORARRAY(I18)</f>
        <v>#VALUE!</v>
      </c>
      <c r="R26" s="2"/>
      <c r="S26" s="2"/>
      <c r="T26" s="2">
        <f t="shared" si="4"/>
        <v>0</v>
      </c>
      <c r="U26" s="2">
        <f t="shared" si="5"/>
        <v>0</v>
      </c>
      <c r="W26" s="30" t="e">
        <f>AVERAGE(_xlfn.ANCHORARRAY(I30))</f>
        <v>#VALUE!</v>
      </c>
      <c r="AA26" s="30">
        <f>IF(T26=0,0,10^((T26-'LC Analysis'!$V$37)/'LC Analysis'!$V$38))</f>
        <v>0</v>
      </c>
      <c r="AB26" s="31"/>
      <c r="AD26" s="30">
        <f t="shared" si="7"/>
        <v>0</v>
      </c>
    </row>
    <row r="27" spans="2:30">
      <c r="B27" s="27" t="s">
        <v>284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P27" s="3">
        <v>10</v>
      </c>
      <c r="Q27" s="2" t="e">
        <f t="array" ref="Q27">_xlfn.ANCHORARRAY(I19)</f>
        <v>#VALUE!</v>
      </c>
      <c r="R27" s="2"/>
      <c r="S27" s="2"/>
      <c r="T27" s="2">
        <f t="shared" si="4"/>
        <v>0</v>
      </c>
      <c r="U27" s="2">
        <f t="shared" si="5"/>
        <v>0</v>
      </c>
      <c r="W27" s="30" t="e">
        <f t="shared" ref="W27:W33" si="8">AVERAGE(_xlfn.ANCHORARRAY(I31))</f>
        <v>#VALUE!</v>
      </c>
      <c r="AA27" s="30">
        <f>IF(T27=0,0,10^((T27-'LC Analysis'!$V$37)/'LC Analysis'!$V$38))</f>
        <v>0</v>
      </c>
      <c r="AB27" s="31"/>
      <c r="AD27" s="30">
        <f t="shared" si="7"/>
        <v>0</v>
      </c>
    </row>
    <row r="28" spans="2:30">
      <c r="B28" s="2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P28" s="3">
        <v>11</v>
      </c>
      <c r="Q28" s="2" t="e">
        <f t="array" ref="Q28">_xlfn.ANCHORARRAY(I20)</f>
        <v>#VALUE!</v>
      </c>
      <c r="R28" s="2"/>
      <c r="S28" s="2"/>
      <c r="T28" s="2">
        <f t="shared" si="4"/>
        <v>0</v>
      </c>
      <c r="U28" s="2">
        <f t="shared" si="5"/>
        <v>0</v>
      </c>
      <c r="W28" s="30" t="e">
        <f t="shared" si="8"/>
        <v>#VALUE!</v>
      </c>
      <c r="AA28" s="30">
        <f>IF(T28=0,0,10^((T28-'LC Analysis'!$V$37)/'LC Analysis'!$V$38))</f>
        <v>0</v>
      </c>
      <c r="AB28" s="31"/>
      <c r="AD28" s="30">
        <f t="shared" si="7"/>
        <v>0</v>
      </c>
    </row>
    <row r="29" spans="2:30">
      <c r="B29" s="3"/>
      <c r="C29" s="24">
        <v>1</v>
      </c>
      <c r="D29" s="24">
        <v>2</v>
      </c>
      <c r="E29" s="24">
        <v>3</v>
      </c>
      <c r="F29" s="24">
        <v>4</v>
      </c>
      <c r="G29" s="24">
        <v>5</v>
      </c>
      <c r="H29" s="24">
        <v>6</v>
      </c>
      <c r="I29" s="24">
        <v>7</v>
      </c>
      <c r="J29" s="24">
        <v>8</v>
      </c>
      <c r="K29" s="24">
        <v>9</v>
      </c>
      <c r="L29" s="24">
        <v>10</v>
      </c>
      <c r="M29" s="24">
        <v>11</v>
      </c>
      <c r="N29" s="24">
        <v>12</v>
      </c>
      <c r="P29" s="3">
        <v>12</v>
      </c>
      <c r="Q29" s="2" t="e">
        <f t="array" ref="Q29">_xlfn.ANCHORARRAY(I21)</f>
        <v>#VALUE!</v>
      </c>
      <c r="R29" s="2"/>
      <c r="S29" s="2"/>
      <c r="T29" s="2">
        <f t="shared" si="4"/>
        <v>0</v>
      </c>
      <c r="U29" s="2">
        <f t="shared" si="5"/>
        <v>0</v>
      </c>
      <c r="W29" s="30" t="e">
        <f t="shared" si="8"/>
        <v>#VALUE!</v>
      </c>
      <c r="AA29" s="30">
        <f>IF(T29=0,0,10^((T29-'LC Analysis'!$V$37)/'LC Analysis'!$V$38))</f>
        <v>0</v>
      </c>
      <c r="AD29" s="30">
        <f t="shared" si="7"/>
        <v>0</v>
      </c>
    </row>
    <row r="30" spans="2:30">
      <c r="B30" s="24" t="s">
        <v>11</v>
      </c>
      <c r="C30" s="3" t="e">
        <f t="array" ref="C30">TRANSPOSE(_xlfn._xlws.FILTER('LC Raw Results'!$F:$F,('LC Raw Results'!$C:$C='LC Calculations'!C6)+('LC Raw Results'!$C:$C='LC Calculations'!D6)+('LC Raw Results'!$C:$C='LC Calculations'!E6)))</f>
        <v>#VALUE!</v>
      </c>
      <c r="D30" s="3"/>
      <c r="E30" s="3"/>
      <c r="F30" s="3" t="e">
        <f t="array" ref="F30">TRANSPOSE(_xlfn._xlws.FILTER('LC Raw Results'!$F:$F,('LC Raw Results'!$C:$C='LC Calculations'!F6)+('LC Raw Results'!$C:$C='LC Calculations'!G6)+('LC Raw Results'!$C:$C='LC Calculations'!H6)))</f>
        <v>#VALUE!</v>
      </c>
      <c r="G30" s="3"/>
      <c r="H30" s="3"/>
      <c r="I30" s="3" t="e">
        <f t="array" ref="I30">TRANSPOSE(_xlfn._xlws.FILTER('LC Raw Results'!$F:$F,('LC Raw Results'!$C:$C='LC Calculations'!I6)+('LC Raw Results'!$C:$C='LC Calculations'!J6)+('LC Raw Results'!$C:$C='LC Calculations'!K6)))</f>
        <v>#VALUE!</v>
      </c>
      <c r="J30" s="3"/>
      <c r="K30" s="3"/>
      <c r="L30" s="3" t="e">
        <f t="array" ref="L30">TRANSPOSE(_xlfn._xlws.FILTER('LC Raw Results'!$F:$F,('LC Raw Results'!$C:$C='LC Calculations'!L6)+('LC Raw Results'!$C:$C='LC Calculations'!M6)+('LC Raw Results'!$C:$C='LC Calculations'!N6)))</f>
        <v>#VALUE!</v>
      </c>
      <c r="M30" s="3"/>
      <c r="N30" s="3"/>
      <c r="P30" s="3">
        <v>13</v>
      </c>
      <c r="Q30" s="2" t="e">
        <f t="array" ref="Q30">_xlfn.ANCHORARRAY(I22)</f>
        <v>#VALUE!</v>
      </c>
      <c r="R30" s="2"/>
      <c r="S30" s="2"/>
      <c r="T30" s="2">
        <f t="shared" si="4"/>
        <v>0</v>
      </c>
      <c r="U30" s="2">
        <f t="shared" si="5"/>
        <v>0</v>
      </c>
      <c r="W30" s="30" t="e">
        <f t="shared" si="8"/>
        <v>#VALUE!</v>
      </c>
      <c r="AA30" s="30">
        <f>IF(T30=0,0,10^((T30-'LC Analysis'!$V$37)/'LC Analysis'!$V$38))</f>
        <v>0</v>
      </c>
      <c r="AD30" s="30">
        <f t="shared" si="7"/>
        <v>0</v>
      </c>
    </row>
    <row r="31" spans="2:30">
      <c r="B31" s="24" t="s">
        <v>12</v>
      </c>
      <c r="C31" s="3" t="e">
        <f t="array" ref="C31">TRANSPOSE(_xlfn._xlws.FILTER('LC Raw Results'!$F:$F,('LC Raw Results'!$C:$C='LC Calculations'!C7)+('LC Raw Results'!$C:$C='LC Calculations'!D7)+('LC Raw Results'!$C:$C='LC Calculations'!E7)))</f>
        <v>#VALUE!</v>
      </c>
      <c r="D31" s="3"/>
      <c r="E31" s="3"/>
      <c r="F31" s="3" t="e">
        <f t="array" ref="F31">TRANSPOSE(_xlfn._xlws.FILTER('LC Raw Results'!$F:$F,('LC Raw Results'!$C:$C='LC Calculations'!F7)+('LC Raw Results'!$C:$C='LC Calculations'!G7)+('LC Raw Results'!$C:$C='LC Calculations'!H7)))</f>
        <v>#VALUE!</v>
      </c>
      <c r="G31" s="3"/>
      <c r="H31" s="3"/>
      <c r="I31" s="3" t="e">
        <f t="array" ref="I31">TRANSPOSE(_xlfn._xlws.FILTER('LC Raw Results'!$F:$F,('LC Raw Results'!$C:$C='LC Calculations'!I7)+('LC Raw Results'!$C:$C='LC Calculations'!J7)+('LC Raw Results'!$C:$C='LC Calculations'!K7)))</f>
        <v>#VALUE!</v>
      </c>
      <c r="J31" s="3"/>
      <c r="K31" s="3"/>
      <c r="L31" s="3" t="e">
        <f t="array" ref="L31">TRANSPOSE(_xlfn._xlws.FILTER('LC Raw Results'!$F:$F,('LC Raw Results'!$C:$C='LC Calculations'!L7)+('LC Raw Results'!$C:$C='LC Calculations'!M7)+('LC Raw Results'!$C:$C='LC Calculations'!N7)))</f>
        <v>#VALUE!</v>
      </c>
      <c r="M31" s="3"/>
      <c r="N31" s="3"/>
      <c r="P31" s="3">
        <v>14</v>
      </c>
      <c r="Q31" s="2" t="e">
        <f t="array" ref="Q31">_xlfn.ANCHORARRAY(I23)</f>
        <v>#VALUE!</v>
      </c>
      <c r="R31" s="2"/>
      <c r="S31" s="2"/>
      <c r="T31" s="2">
        <f t="shared" si="4"/>
        <v>0</v>
      </c>
      <c r="U31" s="2">
        <f t="shared" si="5"/>
        <v>0</v>
      </c>
      <c r="W31" s="30" t="e">
        <f t="shared" si="8"/>
        <v>#VALUE!</v>
      </c>
      <c r="AA31" s="30">
        <f>IF(T31=0,0,10^((T31-'LC Analysis'!$V$37)/'LC Analysis'!$V$38))</f>
        <v>0</v>
      </c>
      <c r="AD31" s="30">
        <f t="shared" si="7"/>
        <v>0</v>
      </c>
    </row>
    <row r="32" spans="2:30">
      <c r="B32" s="24" t="s">
        <v>13</v>
      </c>
      <c r="C32" s="3" t="e">
        <f t="array" ref="C32">TRANSPOSE(_xlfn._xlws.FILTER('LC Raw Results'!$F:$F,('LC Raw Results'!$C:$C='LC Calculations'!C8)+('LC Raw Results'!$C:$C='LC Calculations'!D8)+('LC Raw Results'!$C:$C='LC Calculations'!E8)))</f>
        <v>#VALUE!</v>
      </c>
      <c r="D32" s="3"/>
      <c r="E32" s="3"/>
      <c r="F32" s="3" t="e">
        <f t="array" ref="F32">TRANSPOSE(_xlfn._xlws.FILTER('LC Raw Results'!$F:$F,('LC Raw Results'!$C:$C='LC Calculations'!F8)+('LC Raw Results'!$C:$C='LC Calculations'!G8)+('LC Raw Results'!$C:$C='LC Calculations'!H8)))</f>
        <v>#VALUE!</v>
      </c>
      <c r="G32" s="3"/>
      <c r="H32" s="3"/>
      <c r="I32" s="3" t="e">
        <f t="array" ref="I32">TRANSPOSE(_xlfn._xlws.FILTER('LC Raw Results'!$F:$F,('LC Raw Results'!$C:$C='LC Calculations'!I8)+('LC Raw Results'!$C:$C='LC Calculations'!J8)+('LC Raw Results'!$C:$C='LC Calculations'!K8)))</f>
        <v>#VALUE!</v>
      </c>
      <c r="J32" s="3"/>
      <c r="K32" s="3"/>
      <c r="L32" s="3" t="e">
        <f t="array" ref="L32">TRANSPOSE(_xlfn._xlws.FILTER('LC Raw Results'!$F:$F,('LC Raw Results'!$C:$C='LC Calculations'!L8)+('LC Raw Results'!$C:$C='LC Calculations'!M8)+('LC Raw Results'!$C:$C='LC Calculations'!N8)))</f>
        <v>#VALUE!</v>
      </c>
      <c r="M32" s="3"/>
      <c r="N32" s="3"/>
      <c r="P32" s="3">
        <v>15</v>
      </c>
      <c r="Q32" s="2" t="e">
        <f t="array" ref="Q32">_xlfn.ANCHORARRAY(I24)</f>
        <v>#VALUE!</v>
      </c>
      <c r="R32" s="2"/>
      <c r="S32" s="2"/>
      <c r="T32" s="2">
        <f t="shared" si="4"/>
        <v>0</v>
      </c>
      <c r="U32" s="2">
        <f t="shared" si="5"/>
        <v>0</v>
      </c>
      <c r="W32" s="30" t="e">
        <f t="shared" si="8"/>
        <v>#VALUE!</v>
      </c>
      <c r="AA32" s="30">
        <f>IF(T32=0,0,10^((T32-'LC Analysis'!$V$37)/'LC Analysis'!$V$38))</f>
        <v>0</v>
      </c>
      <c r="AD32" s="30">
        <f t="shared" si="7"/>
        <v>0</v>
      </c>
    </row>
    <row r="33" spans="2:30">
      <c r="B33" s="24" t="s">
        <v>14</v>
      </c>
      <c r="C33" s="3" t="e">
        <f t="array" ref="C33">TRANSPOSE(_xlfn._xlws.FILTER('LC Raw Results'!$F:$F,('LC Raw Results'!$C:$C='LC Calculations'!C9)+('LC Raw Results'!$C:$C='LC Calculations'!D9)+('LC Raw Results'!$C:$C='LC Calculations'!E9)))</f>
        <v>#VALUE!</v>
      </c>
      <c r="D33" s="3"/>
      <c r="E33" s="3"/>
      <c r="F33" s="3" t="e">
        <f t="array" ref="F33">TRANSPOSE(_xlfn._xlws.FILTER('LC Raw Results'!$F:$F,('LC Raw Results'!$C:$C='LC Calculations'!F9)+('LC Raw Results'!$C:$C='LC Calculations'!G9)+('LC Raw Results'!$C:$C='LC Calculations'!H9)))</f>
        <v>#VALUE!</v>
      </c>
      <c r="G33" s="3"/>
      <c r="H33" s="3"/>
      <c r="I33" s="3" t="e">
        <f t="array" ref="I33">TRANSPOSE(_xlfn._xlws.FILTER('LC Raw Results'!$F:$F,('LC Raw Results'!$C:$C='LC Calculations'!I9)+('LC Raw Results'!$C:$C='LC Calculations'!J9)+('LC Raw Results'!$C:$C='LC Calculations'!K9)))</f>
        <v>#VALUE!</v>
      </c>
      <c r="J33" s="3"/>
      <c r="K33" s="3"/>
      <c r="L33" s="3" t="e">
        <f t="array" ref="L33">TRANSPOSE(_xlfn._xlws.FILTER('LC Raw Results'!$F:$F,('LC Raw Results'!$C:$C='LC Calculations'!L9)+('LC Raw Results'!$C:$C='LC Calculations'!M9)+('LC Raw Results'!$C:$C='LC Calculations'!N9)))</f>
        <v>#VALUE!</v>
      </c>
      <c r="M33" s="3"/>
      <c r="N33" s="3"/>
      <c r="P33" s="3">
        <v>16</v>
      </c>
      <c r="Q33" s="2" t="e">
        <f t="array" ref="Q33">_xlfn.ANCHORARRAY(I25)</f>
        <v>#VALUE!</v>
      </c>
      <c r="R33" s="2"/>
      <c r="S33" s="2"/>
      <c r="T33" s="2">
        <f t="shared" si="4"/>
        <v>0</v>
      </c>
      <c r="U33" s="2">
        <f t="shared" si="5"/>
        <v>0</v>
      </c>
      <c r="W33" s="30" t="e">
        <f t="shared" si="8"/>
        <v>#VALUE!</v>
      </c>
      <c r="AA33" s="30">
        <f>IF(T33=0,0,10^((T33-'LC Analysis'!$V$37)/'LC Analysis'!$V$38))</f>
        <v>0</v>
      </c>
      <c r="AD33" s="30">
        <f t="shared" si="7"/>
        <v>0</v>
      </c>
    </row>
    <row r="34" spans="2:30">
      <c r="B34" s="24" t="s">
        <v>15</v>
      </c>
      <c r="C34" s="3" t="e">
        <f t="array" ref="C34">TRANSPOSE(_xlfn._xlws.FILTER('LC Raw Results'!$F:$F,('LC Raw Results'!$C:$C='LC Calculations'!C10)+('LC Raw Results'!$C:$C='LC Calculations'!D10)+('LC Raw Results'!$C:$C='LC Calculations'!E10)))</f>
        <v>#VALUE!</v>
      </c>
      <c r="D34" s="3"/>
      <c r="E34" s="3"/>
      <c r="F34" s="3" t="e">
        <f t="array" ref="F34">TRANSPOSE(_xlfn._xlws.FILTER('LC Raw Results'!$F:$F,('LC Raw Results'!$C:$C='LC Calculations'!F10)+('LC Raw Results'!$C:$C='LC Calculations'!G10)+('LC Raw Results'!$C:$C='LC Calculations'!H10)))</f>
        <v>#VALUE!</v>
      </c>
      <c r="G34" s="3"/>
      <c r="H34" s="3"/>
      <c r="I34" s="3" t="e">
        <f t="array" ref="I34">TRANSPOSE(_xlfn._xlws.FILTER('LC Raw Results'!$F:$F,('LC Raw Results'!$C:$C='LC Calculations'!I10)+('LC Raw Results'!$C:$C='LC Calculations'!J10)+('LC Raw Results'!$C:$C='LC Calculations'!K10)))</f>
        <v>#VALUE!</v>
      </c>
      <c r="J34" s="3"/>
      <c r="K34" s="3"/>
      <c r="L34" s="3" t="e">
        <f t="array" ref="L34">TRANSPOSE(_xlfn._xlws.FILTER('LC Raw Results'!$F:$F,('LC Raw Results'!$C:$C='LC Calculations'!L10)+('LC Raw Results'!$C:$C='LC Calculations'!M10)+('LC Raw Results'!$C:$C='LC Calculations'!N10)))</f>
        <v>#VALUE!</v>
      </c>
      <c r="M34" s="3"/>
      <c r="N34" s="3"/>
      <c r="P34" s="3">
        <v>17</v>
      </c>
      <c r="Q34" s="2" t="e">
        <f t="array" ref="Q34">_xlfn.ANCHORARRAY(L18)</f>
        <v>#VALUE!</v>
      </c>
      <c r="R34" s="2"/>
      <c r="S34" s="2"/>
      <c r="T34" s="2">
        <f t="shared" si="4"/>
        <v>0</v>
      </c>
      <c r="U34" s="2">
        <f t="shared" si="5"/>
        <v>0</v>
      </c>
      <c r="W34" s="30" t="e">
        <f>AVERAGE(_xlfn.ANCHORARRAY(L30))</f>
        <v>#VALUE!</v>
      </c>
      <c r="AA34" s="30">
        <f>IF(T34=0,0,10^((T34-'LC Analysis'!$V$37)/'LC Analysis'!$V$38))</f>
        <v>0</v>
      </c>
      <c r="AD34" s="30">
        <f t="shared" si="7"/>
        <v>0</v>
      </c>
    </row>
    <row r="35" spans="2:30">
      <c r="B35" s="24" t="s">
        <v>16</v>
      </c>
      <c r="C35" s="3" t="e">
        <f t="array" ref="C35">TRANSPOSE(_xlfn._xlws.FILTER('LC Raw Results'!$F:$F,('LC Raw Results'!$C:$C='LC Calculations'!C11)+('LC Raw Results'!$C:$C='LC Calculations'!D11)+('LC Raw Results'!$C:$C='LC Calculations'!E11)))</f>
        <v>#VALUE!</v>
      </c>
      <c r="D35" s="3"/>
      <c r="E35" s="3"/>
      <c r="F35" s="3" t="e">
        <f t="array" ref="F35">TRANSPOSE(_xlfn._xlws.FILTER('LC Raw Results'!$F:$F,('LC Raw Results'!$C:$C='LC Calculations'!F11)+('LC Raw Results'!$C:$C='LC Calculations'!G11)+('LC Raw Results'!$C:$C='LC Calculations'!H11)))</f>
        <v>#VALUE!</v>
      </c>
      <c r="G35" s="3"/>
      <c r="H35" s="3"/>
      <c r="I35" s="3" t="e">
        <f t="array" ref="I35">TRANSPOSE(_xlfn._xlws.FILTER('LC Raw Results'!$F:$F,('LC Raw Results'!$C:$C='LC Calculations'!I11)+('LC Raw Results'!$C:$C='LC Calculations'!J11)+('LC Raw Results'!$C:$C='LC Calculations'!K11)))</f>
        <v>#VALUE!</v>
      </c>
      <c r="J35" s="3"/>
      <c r="K35" s="3"/>
      <c r="L35" s="3" t="e">
        <f t="array" ref="L35">TRANSPOSE(_xlfn._xlws.FILTER('LC Raw Results'!$F:$F,('LC Raw Results'!$C:$C='LC Calculations'!L11)+('LC Raw Results'!$C:$C='LC Calculations'!M11)+('LC Raw Results'!$C:$C='LC Calculations'!N11)))</f>
        <v>#VALUE!</v>
      </c>
      <c r="M35" s="3"/>
      <c r="N35" s="3"/>
      <c r="P35" s="3">
        <v>18</v>
      </c>
      <c r="Q35" s="2" t="e">
        <f t="array" ref="Q35">_xlfn.ANCHORARRAY(L19)</f>
        <v>#VALUE!</v>
      </c>
      <c r="R35" s="2"/>
      <c r="S35" s="2"/>
      <c r="T35" s="2">
        <f t="shared" si="4"/>
        <v>0</v>
      </c>
      <c r="U35" s="2">
        <f t="shared" si="5"/>
        <v>0</v>
      </c>
      <c r="W35" s="30" t="e">
        <f t="shared" ref="W35:W41" si="9">AVERAGE(_xlfn.ANCHORARRAY(L31))</f>
        <v>#VALUE!</v>
      </c>
      <c r="AA35" s="30">
        <f>IF(T35=0,0,10^((T35-'LC Analysis'!$V$37)/'LC Analysis'!$V$38))</f>
        <v>0</v>
      </c>
      <c r="AD35" s="30">
        <f t="shared" si="7"/>
        <v>0</v>
      </c>
    </row>
    <row r="36" spans="2:30">
      <c r="B36" s="24" t="s">
        <v>17</v>
      </c>
      <c r="C36" s="3" t="e">
        <f t="array" ref="C36">TRANSPOSE(_xlfn._xlws.FILTER('LC Raw Results'!$F:$F,('LC Raw Results'!$C:$C='LC Calculations'!C12)+('LC Raw Results'!$C:$C='LC Calculations'!D12)+('LC Raw Results'!$C:$C='LC Calculations'!E12)))</f>
        <v>#VALUE!</v>
      </c>
      <c r="D36" s="3"/>
      <c r="E36" s="3"/>
      <c r="F36" s="3" t="e">
        <f t="array" ref="F36">TRANSPOSE(_xlfn._xlws.FILTER('LC Raw Results'!$F:$F,('LC Raw Results'!$C:$C='LC Calculations'!F12)+('LC Raw Results'!$C:$C='LC Calculations'!G12)+('LC Raw Results'!$C:$C='LC Calculations'!H12)))</f>
        <v>#VALUE!</v>
      </c>
      <c r="G36" s="3"/>
      <c r="H36" s="3"/>
      <c r="I36" s="3" t="e">
        <f t="array" ref="I36">TRANSPOSE(_xlfn._xlws.FILTER('LC Raw Results'!$F:$F,('LC Raw Results'!$C:$C='LC Calculations'!I12)+('LC Raw Results'!$C:$C='LC Calculations'!J12)+('LC Raw Results'!$C:$C='LC Calculations'!K12)))</f>
        <v>#VALUE!</v>
      </c>
      <c r="J36" s="3"/>
      <c r="K36" s="3"/>
      <c r="L36" s="3" t="e">
        <f t="array" ref="L36">TRANSPOSE(_xlfn._xlws.FILTER('LC Raw Results'!$F:$F,('LC Raw Results'!$C:$C='LC Calculations'!L12)+('LC Raw Results'!$C:$C='LC Calculations'!M12)+('LC Raw Results'!$C:$C='LC Calculations'!N12)))</f>
        <v>#VALUE!</v>
      </c>
      <c r="M36" s="3"/>
      <c r="N36" s="3"/>
      <c r="P36" s="3">
        <v>19</v>
      </c>
      <c r="Q36" s="2" t="e">
        <f t="array" ref="Q36">_xlfn.ANCHORARRAY(L20)</f>
        <v>#VALUE!</v>
      </c>
      <c r="R36" s="2"/>
      <c r="S36" s="2"/>
      <c r="T36" s="2">
        <f t="shared" si="4"/>
        <v>0</v>
      </c>
      <c r="U36" s="2">
        <f t="shared" si="5"/>
        <v>0</v>
      </c>
      <c r="W36" s="30" t="e">
        <f t="shared" si="9"/>
        <v>#VALUE!</v>
      </c>
      <c r="AA36" s="30">
        <f>IF(T36=0,0,10^((T36-'LC Analysis'!$V$37)/'LC Analysis'!$V$38))</f>
        <v>0</v>
      </c>
      <c r="AD36" s="30">
        <f t="shared" si="7"/>
        <v>0</v>
      </c>
    </row>
    <row r="37" spans="2:30">
      <c r="B37" s="24" t="s">
        <v>18</v>
      </c>
      <c r="C37" s="3" t="e">
        <f t="array" ref="C37">TRANSPOSE(_xlfn._xlws.FILTER('LC Raw Results'!$F:$F,('LC Raw Results'!$C:$C='LC Calculations'!C13)+('LC Raw Results'!$C:$C='LC Calculations'!D13)+('LC Raw Results'!$C:$C='LC Calculations'!E13)))</f>
        <v>#VALUE!</v>
      </c>
      <c r="D37" s="3"/>
      <c r="E37" s="3"/>
      <c r="F37" s="3" t="e">
        <f t="array" ref="F37">TRANSPOSE(_xlfn._xlws.FILTER('LC Raw Results'!$F:$F,('LC Raw Results'!$C:$C='LC Calculations'!F13)+('LC Raw Results'!$C:$C='LC Calculations'!G13)+('LC Raw Results'!$C:$C='LC Calculations'!H13)))</f>
        <v>#VALUE!</v>
      </c>
      <c r="G37" s="3"/>
      <c r="H37" s="3"/>
      <c r="I37" s="3" t="e">
        <f t="array" ref="I37">TRANSPOSE(_xlfn._xlws.FILTER('LC Raw Results'!$F:$F,('LC Raw Results'!$C:$C='LC Calculations'!I13)+('LC Raw Results'!$C:$C='LC Calculations'!J13)+('LC Raw Results'!$C:$C='LC Calculations'!K13)))</f>
        <v>#VALUE!</v>
      </c>
      <c r="J37" s="3"/>
      <c r="K37" s="3"/>
      <c r="L37" s="3" t="e">
        <f t="array" ref="L37">TRANSPOSE(_xlfn._xlws.FILTER('LC Raw Results'!$F:$F,('LC Raw Results'!$C:$C='LC Calculations'!L13)+('LC Raw Results'!$C:$C='LC Calculations'!M13)+('LC Raw Results'!$C:$C='LC Calculations'!N13)))</f>
        <v>#VALUE!</v>
      </c>
      <c r="M37" s="3"/>
      <c r="N37" s="3"/>
      <c r="P37" s="3">
        <v>20</v>
      </c>
      <c r="Q37" s="2" t="e">
        <f t="array" ref="Q37">_xlfn.ANCHORARRAY(L21)</f>
        <v>#VALUE!</v>
      </c>
      <c r="R37" s="2"/>
      <c r="S37" s="2"/>
      <c r="T37" s="2">
        <f t="shared" si="4"/>
        <v>0</v>
      </c>
      <c r="U37" s="2">
        <f t="shared" si="5"/>
        <v>0</v>
      </c>
      <c r="W37" s="30" t="e">
        <f t="shared" si="9"/>
        <v>#VALUE!</v>
      </c>
      <c r="AA37" s="30">
        <f>IF(T37=0,0,10^((T37-'LC Analysis'!$V$37)/'LC Analysis'!$V$38))</f>
        <v>0</v>
      </c>
      <c r="AD37" s="30">
        <f t="shared" si="7"/>
        <v>0</v>
      </c>
    </row>
    <row r="38" spans="2:30">
      <c r="P38" s="3">
        <v>21</v>
      </c>
      <c r="Q38" s="2" t="e">
        <f t="array" ref="Q38">_xlfn.ANCHORARRAY(L22)</f>
        <v>#VALUE!</v>
      </c>
      <c r="R38" s="2"/>
      <c r="S38" s="2"/>
      <c r="T38" s="2">
        <f t="shared" si="4"/>
        <v>0</v>
      </c>
      <c r="U38" s="2">
        <f t="shared" si="5"/>
        <v>0</v>
      </c>
      <c r="W38" s="30" t="e">
        <f t="shared" si="9"/>
        <v>#VALUE!</v>
      </c>
      <c r="AA38" s="30">
        <f>IF(T38=0,0,10^((T38-'LC Analysis'!$V$37)/'LC Analysis'!$V$38))</f>
        <v>0</v>
      </c>
      <c r="AD38" s="30">
        <f t="shared" si="7"/>
        <v>0</v>
      </c>
    </row>
    <row r="39" spans="2:30">
      <c r="C39" s="10"/>
      <c r="H39" s="10"/>
      <c r="P39" s="3">
        <v>22</v>
      </c>
      <c r="Q39" s="2" t="e">
        <f t="array" ref="Q39">_xlfn.ANCHORARRAY(L23)</f>
        <v>#VALUE!</v>
      </c>
      <c r="R39" s="2"/>
      <c r="S39" s="2"/>
      <c r="T39" s="2">
        <f t="shared" si="4"/>
        <v>0</v>
      </c>
      <c r="U39" s="2">
        <f t="shared" si="5"/>
        <v>0</v>
      </c>
      <c r="W39" s="30" t="e">
        <f t="shared" si="9"/>
        <v>#VALUE!</v>
      </c>
      <c r="AA39" s="30">
        <f>IF(T39=0,0,10^((T39-'LC Analysis'!$V$37)/'LC Analysis'!$V$38))</f>
        <v>0</v>
      </c>
      <c r="AD39" s="30">
        <f t="shared" si="7"/>
        <v>0</v>
      </c>
    </row>
    <row r="40" spans="2:30">
      <c r="C40" s="24"/>
      <c r="D40" s="24"/>
      <c r="E40" s="24"/>
      <c r="F40" s="24"/>
      <c r="G40" s="24"/>
      <c r="H40" s="24"/>
      <c r="I40" s="24"/>
      <c r="J40" s="24"/>
      <c r="K40" s="24"/>
      <c r="L40" s="24"/>
      <c r="P40" s="3">
        <v>23</v>
      </c>
      <c r="Q40" s="2" t="e">
        <f t="array" ref="Q40">_xlfn.ANCHORARRAY(L24)</f>
        <v>#VALUE!</v>
      </c>
      <c r="R40" s="2"/>
      <c r="S40" s="2"/>
      <c r="T40" s="2">
        <f t="shared" si="4"/>
        <v>0</v>
      </c>
      <c r="U40" s="2">
        <f>IFERROR((_xlfn.STDEV.P(Q40:S40)/SQRT(3)),0)</f>
        <v>0</v>
      </c>
      <c r="W40" s="30" t="e">
        <f t="shared" si="9"/>
        <v>#VALUE!</v>
      </c>
      <c r="AA40" s="30">
        <f>IF(T40=0,0,10^((T40-'LC Analysis'!$V$37)/'LC Analysis'!$V$38))</f>
        <v>0</v>
      </c>
      <c r="AD40" s="30">
        <f t="shared" si="7"/>
        <v>0</v>
      </c>
    </row>
    <row r="41" spans="2:30">
      <c r="C41" s="3"/>
      <c r="D41" s="3"/>
      <c r="E41" s="3"/>
      <c r="F41" s="2"/>
      <c r="G41" s="3"/>
      <c r="H41" s="3"/>
      <c r="I41" s="3"/>
      <c r="J41" s="3"/>
      <c r="K41" s="3"/>
      <c r="L41" s="3"/>
      <c r="P41" s="3">
        <v>24</v>
      </c>
      <c r="Q41" s="2" t="e">
        <f t="array" ref="Q41">_xlfn.ANCHORARRAY(L25)</f>
        <v>#VALUE!</v>
      </c>
      <c r="R41" s="2"/>
      <c r="S41" s="2"/>
      <c r="T41" s="2">
        <f t="shared" si="4"/>
        <v>0</v>
      </c>
      <c r="U41" s="2">
        <f>IFERROR((_xlfn.STDEV.P(Q41:S41)/SQRT(3)),0)</f>
        <v>0</v>
      </c>
      <c r="W41" s="30" t="e">
        <f t="shared" si="9"/>
        <v>#VALUE!</v>
      </c>
      <c r="AA41" s="30">
        <f>IF(T41=0,0,10^((T41-'LC Analysis'!$V$37)/'LC Analysis'!$V$38))</f>
        <v>0</v>
      </c>
      <c r="AD41" s="30">
        <f t="shared" si="7"/>
        <v>0</v>
      </c>
    </row>
  </sheetData>
  <sheetProtection algorithmName="SHA-512" hashValue="ER9MVn3+Q3ZJYdoA8H0EyacSh/96NFIp527co1vrV80W+bJmVCDY+g8yUvzy/PfFFYu6zzJDg+1svMsmorZHdQ==" saltValue="OHSiID7+hDEUc0JeOwL/AA==" spinCount="100000" sheet="1" objects="1" scenarios="1"/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A620-8896-43C4-9614-6281E75DCB8F}">
  <sheetPr codeName="Sheet7">
    <outlinePr showOutlineSymbols="0"/>
    <pageSetUpPr fitToPage="1"/>
  </sheetPr>
  <dimension ref="A1:W63"/>
  <sheetViews>
    <sheetView showOutlineSymbols="0" topLeftCell="C1" zoomScale="90" zoomScaleNormal="90" workbookViewId="0">
      <selection activeCell="R19" sqref="R19"/>
    </sheetView>
  </sheetViews>
  <sheetFormatPr defaultRowHeight="14.5" outlineLevelRow="1" outlineLevelCol="1"/>
  <cols>
    <col min="2" max="2" width="10.54296875" customWidth="1"/>
    <col min="3" max="3" width="12.26953125" customWidth="1"/>
    <col min="4" max="4" width="14.1796875" customWidth="1"/>
    <col min="5" max="6" width="14.1796875" style="4" customWidth="1"/>
    <col min="7" max="9" width="14.1796875" customWidth="1"/>
    <col min="12" max="12" width="8.81640625" bestFit="1" customWidth="1"/>
    <col min="13" max="13" width="18.1796875" customWidth="1"/>
    <col min="17" max="17" width="18.1796875" customWidth="1"/>
    <col min="18" max="20" width="8.7265625" outlineLevel="1"/>
  </cols>
  <sheetData>
    <row r="1" spans="1:22">
      <c r="A1" s="7" t="str">
        <f>IF('LC Raw Results'!A2&gt;1,RIGHT('LC Raw Results'!A2,LEN('LC Raw Results'!A2)-12),"Paste Results File into Cell A2 of LC Raw Results")</f>
        <v>Paste Results File into Cell A2 of LC Raw Results</v>
      </c>
    </row>
    <row r="2" spans="1:22">
      <c r="A2" s="7"/>
      <c r="N2" s="1"/>
      <c r="O2" s="11" t="s">
        <v>272</v>
      </c>
      <c r="P2" s="22">
        <v>244</v>
      </c>
    </row>
    <row r="3" spans="1:22">
      <c r="D3" s="1" t="s">
        <v>207</v>
      </c>
      <c r="E3" s="26" t="s">
        <v>164</v>
      </c>
      <c r="F3" s="77"/>
      <c r="K3" s="10" t="s">
        <v>173</v>
      </c>
      <c r="N3" s="1"/>
      <c r="O3" s="11" t="s">
        <v>271</v>
      </c>
      <c r="P3" s="22">
        <v>12.3</v>
      </c>
      <c r="T3" s="158" t="s">
        <v>188</v>
      </c>
      <c r="U3" s="158"/>
      <c r="V3" s="158"/>
    </row>
    <row r="4" spans="1:22">
      <c r="B4" s="10" t="s">
        <v>167</v>
      </c>
      <c r="C4" s="1"/>
      <c r="D4" s="1"/>
    </row>
    <row r="5" spans="1:22" ht="15.5">
      <c r="B5" s="10"/>
      <c r="C5" s="1"/>
      <c r="D5" s="152" t="s">
        <v>219</v>
      </c>
      <c r="E5" s="153"/>
      <c r="F5" s="154"/>
      <c r="G5" s="155" t="s">
        <v>218</v>
      </c>
      <c r="H5" s="156"/>
      <c r="I5" s="157"/>
      <c r="K5" s="160" t="s">
        <v>169</v>
      </c>
      <c r="L5" s="160"/>
      <c r="M5" s="160"/>
      <c r="O5" s="159" t="s">
        <v>170</v>
      </c>
      <c r="P5" s="159"/>
      <c r="Q5" s="159"/>
      <c r="T5" s="161" t="e">
        <f>IF(O63="TRUE","PASSED","FAILED")</f>
        <v>#DIV/0!</v>
      </c>
      <c r="U5" s="161"/>
      <c r="V5" s="161"/>
    </row>
    <row r="6" spans="1:22">
      <c r="B6" s="38" t="s">
        <v>1</v>
      </c>
      <c r="C6" s="38" t="s">
        <v>2</v>
      </c>
      <c r="D6" s="38" t="s">
        <v>36</v>
      </c>
      <c r="E6" s="39" t="s">
        <v>220</v>
      </c>
      <c r="F6" s="39" t="s">
        <v>304</v>
      </c>
      <c r="G6" s="38" t="s">
        <v>221</v>
      </c>
      <c r="H6" s="39" t="s">
        <v>222</v>
      </c>
      <c r="I6" s="38" t="s">
        <v>304</v>
      </c>
      <c r="K6" s="38" t="s">
        <v>37</v>
      </c>
      <c r="L6" s="38" t="s">
        <v>166</v>
      </c>
      <c r="M6" s="38" t="s">
        <v>288</v>
      </c>
      <c r="O6" s="38" t="s">
        <v>37</v>
      </c>
      <c r="P6" s="38" t="s">
        <v>171</v>
      </c>
      <c r="Q6" s="38" t="s">
        <v>165</v>
      </c>
    </row>
    <row r="7" spans="1:22">
      <c r="B7" s="9">
        <v>1</v>
      </c>
      <c r="C7" s="9" t="str">
        <f>IF(ISBLANK('Sample List'!C6)=TRUE,"",'Sample List'!C6)</f>
        <v>PD005745RME2_D_Hu_01</v>
      </c>
      <c r="D7" s="8" t="str">
        <f t="array" ref="D7">IF($E$3="PCR1",_xlfn._xlws.FILTER('LC Calculations'!$T$18:$T$41,'LC Calculations'!$P$18:$P$41=B7),"")</f>
        <v/>
      </c>
      <c r="E7" s="12" t="str">
        <f t="array" ref="E7">IF($E$3="PCR1",_xlfn._xlws.FILTER('LC Calculations'!$AD$18:$AD$41,'LC Calculations'!$P$18:$P$41=B7),"")</f>
        <v/>
      </c>
      <c r="F7" s="12" t="str">
        <f t="array" ref="F7">IF($E$3="PCR1",_xlfn._xlws.FILTER('LC Calculations'!$U$18:$U$41,'LC Calculations'!$P$18:$P$41=B7),"")</f>
        <v/>
      </c>
      <c r="G7" s="8">
        <f t="array" ref="G7">IF($E$3="PCR2",_xlfn._xlws.FILTER('LC Calculations'!$T$18:$T$41,'LC Calculations'!$P$18:$P$41=B7),"")</f>
        <v>0</v>
      </c>
      <c r="H7" s="8">
        <f t="array" ref="H7">IF($E$3="PCR2",10*_xlfn._xlws.FILTER('LC Calculations'!$AD$18:$AD$41,'LC Calculations'!$P$18:$P$41=B7),"")</f>
        <v>0</v>
      </c>
      <c r="I7" s="12">
        <f t="array" ref="I7">IF($E$3="PCR2",_xlfn._xlws.FILTER('LC Calculations'!$U$18:$U$41,'LC Calculations'!$P$18:$P$41=B7),"")</f>
        <v>0</v>
      </c>
      <c r="K7" s="9" t="s">
        <v>5</v>
      </c>
      <c r="L7" s="8">
        <f>'LC Calculations'!T6</f>
        <v>0</v>
      </c>
      <c r="M7" s="8">
        <f>'LC Calculations'!AD6</f>
        <v>0</v>
      </c>
      <c r="O7" s="9" t="s">
        <v>5</v>
      </c>
      <c r="P7" s="8">
        <f>LOG(((3.6*(10^11))/((2*(Q7/1000))/0.00646246)),2)</f>
        <v>22.886109458285901</v>
      </c>
      <c r="Q7" s="8">
        <f>(P2*1000)*(P3/20)</f>
        <v>150060</v>
      </c>
    </row>
    <row r="8" spans="1:22">
      <c r="B8" s="9">
        <v>2</v>
      </c>
      <c r="C8" s="9" t="str">
        <f>IF(ISBLANK('Sample List'!C7)=TRUE,"",'Sample List'!C7)</f>
        <v>PD005599RME1_D_Hu_01</v>
      </c>
      <c r="D8" s="8" t="str">
        <f t="array" ref="D8">IF($E$3="PCR1",_xlfn._xlws.FILTER('LC Calculations'!$T$18:$T$41,'LC Calculations'!$P$18:$P$41=B8),"")</f>
        <v/>
      </c>
      <c r="E8" s="12" t="str">
        <f t="array" ref="E8">IF($E$3="PCR1",_xlfn._xlws.FILTER('LC Calculations'!$AD$18:$AD$41,'LC Calculations'!$P$18:$P$41=B8),"")</f>
        <v/>
      </c>
      <c r="F8" s="12" t="str">
        <f t="array" ref="F8">IF($E$3="PCR1",_xlfn._xlws.FILTER('LC Calculations'!$U$18:$U$41,'LC Calculations'!$P$18:$P$41=B8),"")</f>
        <v/>
      </c>
      <c r="G8" s="8">
        <f t="array" ref="G8">IF($E$3="PCR2",_xlfn._xlws.FILTER('LC Calculations'!$T$18:$T$41,'LC Calculations'!$P$18:$P$41=B8),"")</f>
        <v>0</v>
      </c>
      <c r="H8" s="8">
        <f t="array" ref="H8">IF($E$3="PCR2",10*_xlfn._xlws.FILTER('LC Calculations'!$AD$18:$AD$41,'LC Calculations'!$P$18:$P$41=B8),"")</f>
        <v>0</v>
      </c>
      <c r="I8" s="12">
        <f t="array" ref="I8">IF($E$3="PCR2",_xlfn._xlws.FILTER('LC Calculations'!$U$18:$U$41,'LC Calculations'!$P$18:$P$41=B8),"")</f>
        <v>0</v>
      </c>
      <c r="K8" s="9" t="s">
        <v>6</v>
      </c>
      <c r="L8" s="8">
        <f>'LC Calculations'!T7</f>
        <v>0</v>
      </c>
      <c r="M8" s="8">
        <f>'LC Calculations'!AD7</f>
        <v>0</v>
      </c>
      <c r="O8" s="9" t="s">
        <v>6</v>
      </c>
      <c r="P8" s="8">
        <f t="shared" ref="P8:P11" si="0">LOG(((3.6*(10^11))/((2*(Q8/1000))/0.00646246)),2)</f>
        <v>25.038112551730951</v>
      </c>
      <c r="Q8" s="8">
        <f>Q7*(4.5/20)</f>
        <v>33763.5</v>
      </c>
    </row>
    <row r="9" spans="1:22">
      <c r="B9" s="9">
        <v>3</v>
      </c>
      <c r="C9" s="9" t="str">
        <f>IF(ISBLANK('Sample List'!C8)=TRUE,"",'Sample List'!C8)</f>
        <v>PD005595RME1_D_Hu_01</v>
      </c>
      <c r="D9" s="8" t="str">
        <f t="array" ref="D9">IF($E$3="PCR1",_xlfn._xlws.FILTER('LC Calculations'!$T$18:$T$41,'LC Calculations'!$P$18:$P$41=B9),"")</f>
        <v/>
      </c>
      <c r="E9" s="12" t="str">
        <f t="array" ref="E9">IF($E$3="PCR1",_xlfn._xlws.FILTER('LC Calculations'!$AD$18:$AD$41,'LC Calculations'!$P$18:$P$41=B9),"")</f>
        <v/>
      </c>
      <c r="F9" s="12" t="str">
        <f t="array" ref="F9">IF($E$3="PCR1",_xlfn._xlws.FILTER('LC Calculations'!$U$18:$U$41,'LC Calculations'!$P$18:$P$41=B9),"")</f>
        <v/>
      </c>
      <c r="G9" s="8">
        <f t="array" ref="G9">IF($E$3="PCR2",_xlfn._xlws.FILTER('LC Calculations'!$T$18:$T$41,'LC Calculations'!$P$18:$P$41=B9),"")</f>
        <v>0</v>
      </c>
      <c r="H9" s="8">
        <f t="array" ref="H9">IF($E$3="PCR2",10*_xlfn._xlws.FILTER('LC Calculations'!$AD$18:$AD$41,'LC Calculations'!$P$18:$P$41=B9),"")</f>
        <v>0</v>
      </c>
      <c r="I9" s="12">
        <f t="array" ref="I9">IF($E$3="PCR2",_xlfn._xlws.FILTER('LC Calculations'!$U$18:$U$41,'LC Calculations'!$P$18:$P$41=B9),"")</f>
        <v>0</v>
      </c>
      <c r="K9" s="9" t="s">
        <v>7</v>
      </c>
      <c r="L9" s="8">
        <f>'LC Calculations'!T8</f>
        <v>0</v>
      </c>
      <c r="M9" s="8">
        <f>'LC Calculations'!AD8</f>
        <v>0</v>
      </c>
      <c r="O9" s="9" t="s">
        <v>7</v>
      </c>
      <c r="P9" s="8">
        <f>LOG(((3.6*(10^11))/((2*(Q9/1000))/0.00646246)),2)</f>
        <v>27.190115645176</v>
      </c>
      <c r="Q9" s="8">
        <f t="shared" ref="Q9:Q12" si="1">Q8*(4.5/20)</f>
        <v>7596.7875000000004</v>
      </c>
    </row>
    <row r="10" spans="1:22">
      <c r="B10" s="9">
        <v>4</v>
      </c>
      <c r="C10" s="9" t="str">
        <f>IF(ISBLANK('Sample List'!C9)=TRUE,"",'Sample List'!C9)</f>
        <v>PD005590RME1_D_Hu_01</v>
      </c>
      <c r="D10" s="8" t="str">
        <f t="array" ref="D10">IF($E$3="PCR1",_xlfn._xlws.FILTER('LC Calculations'!$T$18:$T$41,'LC Calculations'!$P$18:$P$41=B10),"")</f>
        <v/>
      </c>
      <c r="E10" s="12" t="str">
        <f t="array" ref="E10">IF($E$3="PCR1",_xlfn._xlws.FILTER('LC Calculations'!$AD$18:$AD$41,'LC Calculations'!$P$18:$P$41=B10),"")</f>
        <v/>
      </c>
      <c r="F10" s="12" t="str">
        <f t="array" ref="F10">IF($E$3="PCR1",_xlfn._xlws.FILTER('LC Calculations'!$U$18:$U$41,'LC Calculations'!$P$18:$P$41=B10),"")</f>
        <v/>
      </c>
      <c r="G10" s="8">
        <f t="array" ref="G10">IF($E$3="PCR2",_xlfn._xlws.FILTER('LC Calculations'!$T$18:$T$41,'LC Calculations'!$P$18:$P$41=B10),"")</f>
        <v>0</v>
      </c>
      <c r="H10" s="8">
        <f t="array" ref="H10">IF($E$3="PCR2",10*_xlfn._xlws.FILTER('LC Calculations'!$AD$18:$AD$41,'LC Calculations'!$P$18:$P$41=B10),"")</f>
        <v>0</v>
      </c>
      <c r="I10" s="12">
        <f t="array" ref="I10">IF($E$3="PCR2",_xlfn._xlws.FILTER('LC Calculations'!$U$18:$U$41,'LC Calculations'!$P$18:$P$41=B10),"")</f>
        <v>0</v>
      </c>
      <c r="K10" s="9" t="s">
        <v>8</v>
      </c>
      <c r="L10" s="8">
        <f>'LC Calculations'!T9</f>
        <v>0</v>
      </c>
      <c r="M10" s="8">
        <f>'LC Calculations'!AD9</f>
        <v>0</v>
      </c>
      <c r="O10" s="9" t="s">
        <v>8</v>
      </c>
      <c r="P10" s="8">
        <f t="shared" si="0"/>
        <v>29.342118738621046</v>
      </c>
      <c r="Q10" s="8">
        <f t="shared" si="1"/>
        <v>1709.2771875000001</v>
      </c>
    </row>
    <row r="11" spans="1:22">
      <c r="B11" s="9">
        <v>5</v>
      </c>
      <c r="C11" s="9" t="str">
        <f>IF(ISBLANK('Sample List'!C10)=TRUE,"",'Sample List'!C10)</f>
        <v>PD005585RME1_D_Hu_01</v>
      </c>
      <c r="D11" s="8" t="str">
        <f t="array" ref="D11">IF($E$3="PCR1",_xlfn._xlws.FILTER('LC Calculations'!$T$18:$T$41,'LC Calculations'!$P$18:$P$41=B11),"")</f>
        <v/>
      </c>
      <c r="E11" s="12" t="str">
        <f t="array" ref="E11">IF($E$3="PCR1",_xlfn._xlws.FILTER('LC Calculations'!$AD$18:$AD$41,'LC Calculations'!$P$18:$P$41=B11),"")</f>
        <v/>
      </c>
      <c r="F11" s="12" t="str">
        <f t="array" ref="F11">IF($E$3="PCR1",_xlfn._xlws.FILTER('LC Calculations'!$U$18:$U$41,'LC Calculations'!$P$18:$P$41=B11),"")</f>
        <v/>
      </c>
      <c r="G11" s="8">
        <f t="array" ref="G11">IF($E$3="PCR2",_xlfn._xlws.FILTER('LC Calculations'!$T$18:$T$41,'LC Calculations'!$P$18:$P$41=B11),"")</f>
        <v>0</v>
      </c>
      <c r="H11" s="8">
        <f t="array" ref="H11">IF($E$3="PCR2",10*_xlfn._xlws.FILTER('LC Calculations'!$AD$18:$AD$41,'LC Calculations'!$P$18:$P$41=B11),"")</f>
        <v>0</v>
      </c>
      <c r="I11" s="12">
        <f t="array" ref="I11">IF($E$3="PCR2",_xlfn._xlws.FILTER('LC Calculations'!$U$18:$U$41,'LC Calculations'!$P$18:$P$41=B11),"")</f>
        <v>0</v>
      </c>
      <c r="J11" t="s">
        <v>234</v>
      </c>
      <c r="K11" s="9" t="s">
        <v>9</v>
      </c>
      <c r="L11" s="8">
        <f>'LC Calculations'!T10</f>
        <v>0</v>
      </c>
      <c r="M11" s="8">
        <f>'LC Calculations'!AD10</f>
        <v>0</v>
      </c>
      <c r="O11" s="9" t="s">
        <v>9</v>
      </c>
      <c r="P11" s="8">
        <f t="shared" si="0"/>
        <v>31.494121832066103</v>
      </c>
      <c r="Q11" s="8">
        <f t="shared" si="1"/>
        <v>384.58736718750004</v>
      </c>
    </row>
    <row r="12" spans="1:22">
      <c r="B12" s="9">
        <v>6</v>
      </c>
      <c r="C12" s="9" t="str">
        <f>IF(ISBLANK('Sample List'!C11)=TRUE,"",'Sample List'!C11)</f>
        <v>PD005594RME1_D_Hu_01</v>
      </c>
      <c r="D12" s="8" t="str">
        <f t="array" ref="D12">IF($E$3="PCR1",_xlfn._xlws.FILTER('LC Calculations'!$T$18:$T$41,'LC Calculations'!$P$18:$P$41=B12),"")</f>
        <v/>
      </c>
      <c r="E12" s="12" t="str">
        <f t="array" ref="E12">IF($E$3="PCR1",_xlfn._xlws.FILTER('LC Calculations'!$AD$18:$AD$41,'LC Calculations'!$P$18:$P$41=B12),"")</f>
        <v/>
      </c>
      <c r="F12" s="12" t="str">
        <f t="array" ref="F12">IF($E$3="PCR1",_xlfn._xlws.FILTER('LC Calculations'!$U$18:$U$41,'LC Calculations'!$P$18:$P$41=B12),"")</f>
        <v/>
      </c>
      <c r="G12" s="8">
        <f t="array" ref="G12">IF($E$3="PCR2",_xlfn._xlws.FILTER('LC Calculations'!$T$18:$T$41,'LC Calculations'!$P$18:$P$41=B12),"")</f>
        <v>0</v>
      </c>
      <c r="H12" s="8">
        <f t="array" ref="H12">IF($E$3="PCR2",10*_xlfn._xlws.FILTER('LC Calculations'!$AD$18:$AD$41,'LC Calculations'!$P$18:$P$41=B12),"")</f>
        <v>0</v>
      </c>
      <c r="I12" s="12">
        <f t="array" ref="I12">IF($E$3="PCR2",_xlfn._xlws.FILTER('LC Calculations'!$U$18:$U$41,'LC Calculations'!$P$18:$P$41=B12),"")</f>
        <v>0</v>
      </c>
      <c r="K12" s="9" t="s">
        <v>10</v>
      </c>
      <c r="L12" s="8">
        <f>'LC Calculations'!T11</f>
        <v>0</v>
      </c>
      <c r="M12" s="8">
        <f>'LC Calculations'!AD11</f>
        <v>0</v>
      </c>
      <c r="O12" s="9" t="s">
        <v>10</v>
      </c>
      <c r="P12" s="8">
        <f>LOG(((3.6*(10^11))/((2*(Q12/1000))/0.00646246)),2)</f>
        <v>33.646124925511153</v>
      </c>
      <c r="Q12" s="8">
        <f t="shared" si="1"/>
        <v>86.532157617187508</v>
      </c>
    </row>
    <row r="13" spans="1:22">
      <c r="B13" s="9">
        <v>7</v>
      </c>
      <c r="C13" s="9" t="str">
        <f>IF(ISBLANK('Sample List'!C12)=TRUE,"",'Sample List'!C12)</f>
        <v>PD005593RME1_D_Hu_01</v>
      </c>
      <c r="D13" s="8" t="str">
        <f t="array" ref="D13">IF($E$3="PCR1",_xlfn._xlws.FILTER('LC Calculations'!$T$18:$T$41,'LC Calculations'!$P$18:$P$41=B13),"")</f>
        <v/>
      </c>
      <c r="E13" s="12" t="str">
        <f t="array" ref="E13">IF($E$3="PCR1",_xlfn._xlws.FILTER('LC Calculations'!$AD$18:$AD$41,'LC Calculations'!$P$18:$P$41=B13),"")</f>
        <v/>
      </c>
      <c r="F13" s="12" t="str">
        <f t="array" ref="F13">IF($E$3="PCR1",_xlfn._xlws.FILTER('LC Calculations'!$U$18:$U$41,'LC Calculations'!$P$18:$P$41=B13),"")</f>
        <v/>
      </c>
      <c r="G13" s="8">
        <f t="array" ref="G13">IF($E$3="PCR2",_xlfn._xlws.FILTER('LC Calculations'!$T$18:$T$41,'LC Calculations'!$P$18:$P$41=B13),"")</f>
        <v>0</v>
      </c>
      <c r="H13" s="8">
        <f t="array" ref="H13">IF($E$3="PCR2",10*_xlfn._xlws.FILTER('LC Calculations'!$AD$18:$AD$41,'LC Calculations'!$P$18:$P$41=B13),"")</f>
        <v>0</v>
      </c>
      <c r="I13" s="12">
        <f t="array" ref="I13">IF($E$3="PCR2",_xlfn._xlws.FILTER('LC Calculations'!$U$18:$U$41,'LC Calculations'!$P$18:$P$41=B13),"")</f>
        <v>0</v>
      </c>
      <c r="K13" s="9" t="s">
        <v>238</v>
      </c>
      <c r="L13" s="8">
        <f>'LC Calculations'!T12</f>
        <v>0</v>
      </c>
      <c r="M13" s="8">
        <f>'LC Calculations'!AD12</f>
        <v>0</v>
      </c>
      <c r="O13" s="9" t="s">
        <v>238</v>
      </c>
      <c r="P13" s="8">
        <f>LOG(((3.6*(10^11))/((2*(Q13/1000))/0.00646246)),2)</f>
        <v>26.793577016525937</v>
      </c>
      <c r="Q13" s="8">
        <v>10000</v>
      </c>
    </row>
    <row r="14" spans="1:22">
      <c r="B14" s="9">
        <v>8</v>
      </c>
      <c r="C14" s="9" t="str">
        <f>IF(ISBLANK('Sample List'!C13)=TRUE,"",'Sample List'!C13)</f>
        <v>PD005592RME1_D_Hu_01</v>
      </c>
      <c r="D14" s="8" t="str">
        <f t="array" ref="D14">IF($E$3="PCR1",_xlfn._xlws.FILTER('LC Calculations'!$T$18:$T$41,'LC Calculations'!$P$18:$P$41=B14),"")</f>
        <v/>
      </c>
      <c r="E14" s="12" t="str">
        <f t="array" ref="E14">IF($E$3="PCR1",_xlfn._xlws.FILTER('LC Calculations'!$AD$18:$AD$41,'LC Calculations'!$P$18:$P$41=B14),"")</f>
        <v/>
      </c>
      <c r="F14" s="12" t="str">
        <f t="array" ref="F14">IF($E$3="PCR1",_xlfn._xlws.FILTER('LC Calculations'!$U$18:$U$41,'LC Calculations'!$P$18:$P$41=B14),"")</f>
        <v/>
      </c>
      <c r="G14" s="8">
        <f t="array" ref="G14">IF($E$3="PCR2",_xlfn._xlws.FILTER('LC Calculations'!$T$18:$T$41,'LC Calculations'!$P$18:$P$41=B14),"")</f>
        <v>0</v>
      </c>
      <c r="H14" s="8">
        <f t="array" ref="H14">IF($E$3="PCR2",10*_xlfn._xlws.FILTER('LC Calculations'!$AD$18:$AD$41,'LC Calculations'!$P$18:$P$41=B14),"")</f>
        <v>0</v>
      </c>
      <c r="I14" s="12">
        <f t="array" ref="I14">IF($E$3="PCR2",_xlfn._xlws.FILTER('LC Calculations'!$U$18:$U$41,'LC Calculations'!$P$18:$P$41=B14),"")</f>
        <v>0</v>
      </c>
      <c r="K14" s="9" t="s">
        <v>19</v>
      </c>
      <c r="L14" s="8">
        <f>'LC Calculations'!T13</f>
        <v>0</v>
      </c>
      <c r="M14" s="8">
        <f>'LC Calculations'!AD13</f>
        <v>0</v>
      </c>
      <c r="O14" s="9" t="s">
        <v>19</v>
      </c>
      <c r="P14" s="9">
        <v>0</v>
      </c>
      <c r="Q14" s="9">
        <v>0</v>
      </c>
    </row>
    <row r="15" spans="1:22">
      <c r="B15" s="9">
        <v>9</v>
      </c>
      <c r="C15" s="9" t="str">
        <f>IF(ISBLANK('Sample List'!C14)=TRUE,"",'Sample List'!C14)</f>
        <v>PD005584RME1_D_Hu_01</v>
      </c>
      <c r="D15" s="8" t="str">
        <f t="array" ref="D15">IF($E$3="PCR1",_xlfn._xlws.FILTER('LC Calculations'!$T$18:$T$41,'LC Calculations'!$P$18:$P$41=B15),"")</f>
        <v/>
      </c>
      <c r="E15" s="12" t="str">
        <f t="array" ref="E15">IF($E$3="PCR1",_xlfn._xlws.FILTER('LC Calculations'!$AD$18:$AD$41,'LC Calculations'!$P$18:$P$41=B15),"")</f>
        <v/>
      </c>
      <c r="F15" s="12" t="str">
        <f t="array" ref="F15">IF($E$3="PCR1",_xlfn._xlws.FILTER('LC Calculations'!$U$18:$U$41,'LC Calculations'!$P$18:$P$41=B15),"")</f>
        <v/>
      </c>
      <c r="G15" s="8">
        <f t="array" ref="G15">IF($E$3="PCR2",_xlfn._xlws.FILTER('LC Calculations'!$T$18:$T$41,'LC Calculations'!$P$18:$P$41=B15),"")</f>
        <v>0</v>
      </c>
      <c r="H15" s="8">
        <f t="array" ref="H15">IF($E$3="PCR2",10*_xlfn._xlws.FILTER('LC Calculations'!$AD$18:$AD$41,'LC Calculations'!$P$18:$P$41=B15),"")</f>
        <v>0</v>
      </c>
      <c r="I15" s="12">
        <f t="array" ref="I15">IF($E$3="PCR2",_xlfn._xlws.FILTER('LC Calculations'!$U$18:$U$41,'LC Calculations'!$P$18:$P$41=B15),"")</f>
        <v>0</v>
      </c>
      <c r="K15" s="34" t="s">
        <v>172</v>
      </c>
      <c r="L15" s="33"/>
      <c r="M15" s="33"/>
      <c r="N15" s="33"/>
      <c r="O15" s="34" t="s">
        <v>172</v>
      </c>
    </row>
    <row r="16" spans="1:22">
      <c r="B16" s="9">
        <v>10</v>
      </c>
      <c r="C16" s="9" t="str">
        <f>IF(ISBLANK('Sample List'!C15)=TRUE,"",'Sample List'!C15)</f>
        <v>PD005578RME1_D_Hu_01</v>
      </c>
      <c r="D16" s="8" t="str">
        <f t="array" ref="D16">IF($E$3="PCR1",_xlfn._xlws.FILTER('LC Calculations'!$T$18:$T$41,'LC Calculations'!$P$18:$P$41=B16),"")</f>
        <v/>
      </c>
      <c r="E16" s="12" t="str">
        <f t="array" ref="E16">IF($E$3="PCR1",_xlfn._xlws.FILTER('LC Calculations'!$AD$18:$AD$41,'LC Calculations'!$P$18:$P$41=B16),"")</f>
        <v/>
      </c>
      <c r="F16" s="12" t="str">
        <f t="array" ref="F16">IF($E$3="PCR1",_xlfn._xlws.FILTER('LC Calculations'!$U$18:$U$41,'LC Calculations'!$P$18:$P$41=B16),"")</f>
        <v/>
      </c>
      <c r="G16" s="8">
        <f t="array" ref="G16">IF($E$3="PCR2",_xlfn._xlws.FILTER('LC Calculations'!$T$18:$T$41,'LC Calculations'!$P$18:$P$41=B16),"")</f>
        <v>0</v>
      </c>
      <c r="H16" s="8">
        <f t="array" ref="H16">IF($E$3="PCR2",10*_xlfn._xlws.FILTER('LC Calculations'!$AD$18:$AD$41,'LC Calculations'!$P$18:$P$41=B16),"")</f>
        <v>0</v>
      </c>
      <c r="I16" s="12">
        <f t="array" ref="I16">IF($E$3="PCR2",_xlfn._xlws.FILTER('LC Calculations'!$U$18:$U$41,'LC Calculations'!$P$18:$P$41=B16),"")</f>
        <v>0</v>
      </c>
      <c r="K16" s="33" t="s">
        <v>291</v>
      </c>
      <c r="L16" s="35"/>
      <c r="M16" s="33"/>
      <c r="N16" s="33"/>
      <c r="O16" s="36" t="s">
        <v>290</v>
      </c>
    </row>
    <row r="17" spans="2:22">
      <c r="B17" s="9">
        <v>11</v>
      </c>
      <c r="C17" s="9" t="str">
        <f>IF(ISBLANK('Sample List'!C16)=TRUE,"",'Sample List'!C16)</f>
        <v>PD005575RME1_D_Hu_01</v>
      </c>
      <c r="D17" s="8" t="str">
        <f t="array" ref="D17">IF($E$3="PCR1",_xlfn._xlws.FILTER('LC Calculations'!$T$18:$T$41,'LC Calculations'!$P$18:$P$41=B17),"")</f>
        <v/>
      </c>
      <c r="E17" s="12" t="str">
        <f t="array" ref="E17">IF($E$3="PCR1",_xlfn._xlws.FILTER('LC Calculations'!$AD$18:$AD$41,'LC Calculations'!$P$18:$P$41=B17),"")</f>
        <v/>
      </c>
      <c r="F17" s="12" t="str">
        <f t="array" ref="F17">IF($E$3="PCR1",_xlfn._xlws.FILTER('LC Calculations'!$U$18:$U$41,'LC Calculations'!$P$18:$P$41=B17),"")</f>
        <v/>
      </c>
      <c r="G17" s="8">
        <f t="array" ref="G17">IF($E$3="PCR2",_xlfn._xlws.FILTER('LC Calculations'!$T$18:$T$41,'LC Calculations'!$P$18:$P$41=B17),"")</f>
        <v>0</v>
      </c>
      <c r="H17" s="8">
        <f t="array" ref="H17">IF($E$3="PCR2",10*_xlfn._xlws.FILTER('LC Calculations'!$AD$18:$AD$41,'LC Calculations'!$P$18:$P$41=B17),"")</f>
        <v>0</v>
      </c>
      <c r="I17" s="12">
        <f t="array" ref="I17">IF($E$3="PCR2",_xlfn._xlws.FILTER('LC Calculations'!$U$18:$U$41,'LC Calculations'!$P$18:$P$41=B17),"")</f>
        <v>0</v>
      </c>
      <c r="K17" s="33" t="s">
        <v>292</v>
      </c>
      <c r="L17" s="33"/>
      <c r="M17" s="33"/>
      <c r="N17" s="33"/>
      <c r="O17" s="36" t="s">
        <v>282</v>
      </c>
    </row>
    <row r="18" spans="2:22">
      <c r="B18" s="9">
        <v>12</v>
      </c>
      <c r="C18" s="9" t="str">
        <f>IF(ISBLANK('Sample List'!C17)=TRUE,"",'Sample List'!C17)</f>
        <v>PD005572RME1_D_Hu_01</v>
      </c>
      <c r="D18" s="8" t="str">
        <f t="array" ref="D18">IF($E$3="PCR1",_xlfn._xlws.FILTER('LC Calculations'!$T$18:$T$41,'LC Calculations'!$P$18:$P$41=B18),"")</f>
        <v/>
      </c>
      <c r="E18" s="12" t="str">
        <f t="array" ref="E18">IF($E$3="PCR1",_xlfn._xlws.FILTER('LC Calculations'!$AD$18:$AD$41,'LC Calculations'!$P$18:$P$41=B18),"")</f>
        <v/>
      </c>
      <c r="F18" s="12" t="str">
        <f t="array" ref="F18">IF($E$3="PCR1",_xlfn._xlws.FILTER('LC Calculations'!$U$18:$U$41,'LC Calculations'!$P$18:$P$41=B18),"")</f>
        <v/>
      </c>
      <c r="G18" s="8">
        <f t="array" ref="G18">IF($E$3="PCR2",_xlfn._xlws.FILTER('LC Calculations'!$T$18:$T$41,'LC Calculations'!$P$18:$P$41=B18),"")</f>
        <v>0</v>
      </c>
      <c r="H18" s="8">
        <f t="array" ref="H18">IF($E$3="PCR2",10*_xlfn._xlws.FILTER('LC Calculations'!$AD$18:$AD$41,'LC Calculations'!$P$18:$P$41=B18),"")</f>
        <v>0</v>
      </c>
      <c r="I18" s="12">
        <f t="array" ref="I18">IF($E$3="PCR2",_xlfn._xlws.FILTER('LC Calculations'!$U$18:$U$41,'LC Calculations'!$P$18:$P$41=B18),"")</f>
        <v>0</v>
      </c>
      <c r="L18" s="33"/>
      <c r="M18" s="33"/>
      <c r="N18" s="33"/>
      <c r="O18" s="36" t="s">
        <v>203</v>
      </c>
    </row>
    <row r="19" spans="2:22">
      <c r="B19" s="9">
        <v>13</v>
      </c>
      <c r="C19" s="9" t="str">
        <f>IF(ISBLANK('Sample List'!C18)=TRUE,"",'Sample List'!C18)</f>
        <v>PD005571RME1_D_Hu_01</v>
      </c>
      <c r="D19" s="8" t="str">
        <f t="array" ref="D19">IF($E$3="PCR1",_xlfn._xlws.FILTER('LC Calculations'!$T$18:$T$41,'LC Calculations'!$P$18:$P$41=B19),"")</f>
        <v/>
      </c>
      <c r="E19" s="12" t="str">
        <f t="array" ref="E19">IF($E$3="PCR1",_xlfn._xlws.FILTER('LC Calculations'!$AD$18:$AD$41,'LC Calculations'!$P$18:$P$41=B19),"")</f>
        <v/>
      </c>
      <c r="F19" s="12" t="str">
        <f t="array" ref="F19">IF($E$3="PCR1",_xlfn._xlws.FILTER('LC Calculations'!$U$18:$U$41,'LC Calculations'!$P$18:$P$41=B19),"")</f>
        <v/>
      </c>
      <c r="G19" s="8">
        <f t="array" ref="G19">IF($E$3="PCR2",_xlfn._xlws.FILTER('LC Calculations'!$T$18:$T$41,'LC Calculations'!$P$18:$P$41=B19),"")</f>
        <v>0</v>
      </c>
      <c r="H19" s="8">
        <f t="array" ref="H19">IF($E$3="PCR2",10*_xlfn._xlws.FILTER('LC Calculations'!$AD$18:$AD$41,'LC Calculations'!$P$18:$P$41=B19),"")</f>
        <v>0</v>
      </c>
      <c r="I19" s="12">
        <f t="array" ref="I19">IF($E$3="PCR2",_xlfn._xlws.FILTER('LC Calculations'!$U$18:$U$41,'LC Calculations'!$P$18:$P$41=B19),"")</f>
        <v>0</v>
      </c>
    </row>
    <row r="20" spans="2:22">
      <c r="B20" s="9">
        <v>14</v>
      </c>
      <c r="C20" s="9" t="str">
        <f>IF(ISBLANK('Sample List'!C19)=TRUE,"",'Sample List'!C19)</f>
        <v>PD005568RME1_D_Hu_01</v>
      </c>
      <c r="D20" s="8" t="str">
        <f t="array" ref="D20">IF($E$3="PCR1",_xlfn._xlws.FILTER('LC Calculations'!$T$18:$T$41,'LC Calculations'!$P$18:$P$41=B20),"")</f>
        <v/>
      </c>
      <c r="E20" s="12" t="str">
        <f t="array" ref="E20">IF($E$3="PCR1",_xlfn._xlws.FILTER('LC Calculations'!$AD$18:$AD$41,'LC Calculations'!$P$18:$P$41=B20),"")</f>
        <v/>
      </c>
      <c r="F20" s="12" t="str">
        <f t="array" ref="F20">IF($E$3="PCR1",_xlfn._xlws.FILTER('LC Calculations'!$U$18:$U$41,'LC Calculations'!$P$18:$P$41=B20),"")</f>
        <v/>
      </c>
      <c r="G20" s="8">
        <f t="array" ref="G20">IF($E$3="PCR2",_xlfn._xlws.FILTER('LC Calculations'!$T$18:$T$41,'LC Calculations'!$P$18:$P$41=B20),"")</f>
        <v>0</v>
      </c>
      <c r="H20" s="8">
        <f t="array" ref="H20">IF($E$3="PCR2",10*_xlfn._xlws.FILTER('LC Calculations'!$AD$18:$AD$41,'LC Calculations'!$P$18:$P$41=B20),"")</f>
        <v>0</v>
      </c>
      <c r="I20" s="12">
        <f t="array" ref="I20">IF($E$3="PCR2",_xlfn._xlws.FILTER('LC Calculations'!$U$18:$U$41,'LC Calculations'!$P$18:$P$41=B20),"")</f>
        <v>0</v>
      </c>
      <c r="K20" s="10" t="s">
        <v>168</v>
      </c>
    </row>
    <row r="21" spans="2:22">
      <c r="B21" s="9">
        <v>15</v>
      </c>
      <c r="C21" s="9" t="str">
        <f>IF(ISBLANK('Sample List'!C20)=TRUE,"",'Sample List'!C20)</f>
        <v>PD005565RME1_D_Hu_01</v>
      </c>
      <c r="D21" s="8" t="str">
        <f t="array" ref="D21">IF($E$3="PCR1",_xlfn._xlws.FILTER('LC Calculations'!$T$18:$T$41,'LC Calculations'!$P$18:$P$41=B21),"")</f>
        <v/>
      </c>
      <c r="E21" s="12" t="str">
        <f t="array" ref="E21">IF($E$3="PCR1",_xlfn._xlws.FILTER('LC Calculations'!$AD$18:$AD$41,'LC Calculations'!$P$18:$P$41=B21),"")</f>
        <v/>
      </c>
      <c r="F21" s="12" t="str">
        <f t="array" ref="F21">IF($E$3="PCR1",_xlfn._xlws.FILTER('LC Calculations'!$U$18:$U$41,'LC Calculations'!$P$18:$P$41=B21),"")</f>
        <v/>
      </c>
      <c r="G21" s="8">
        <f t="array" ref="G21">IF($E$3="PCR2",_xlfn._xlws.FILTER('LC Calculations'!$T$18:$T$41,'LC Calculations'!$P$18:$P$41=B21),"")</f>
        <v>0</v>
      </c>
      <c r="H21" s="8">
        <f t="array" ref="H21">IF($E$3="PCR2",10*_xlfn._xlws.FILTER('LC Calculations'!$AD$18:$AD$41,'LC Calculations'!$P$18:$P$41=B21),"")</f>
        <v>0</v>
      </c>
      <c r="I21" s="12">
        <f t="array" ref="I21">IF($E$3="PCR2",_xlfn._xlws.FILTER('LC Calculations'!$U$18:$U$41,'LC Calculations'!$P$18:$P$41=B21),"")</f>
        <v>0</v>
      </c>
      <c r="K21" s="160" t="s">
        <v>169</v>
      </c>
      <c r="L21" s="160"/>
      <c r="M21" s="160"/>
      <c r="N21" s="160"/>
      <c r="Q21" s="155" t="s">
        <v>177</v>
      </c>
      <c r="R21" s="156"/>
      <c r="S21" s="156"/>
      <c r="T21" s="156"/>
      <c r="U21" s="156"/>
      <c r="V21" s="157"/>
    </row>
    <row r="22" spans="2:22">
      <c r="B22" s="9">
        <v>16</v>
      </c>
      <c r="C22" s="9" t="str">
        <f>IF(ISBLANK('Sample List'!C21)=TRUE,"",'Sample List'!C21)</f>
        <v>PD005564RME4_D_Hu_01</v>
      </c>
      <c r="D22" s="8" t="str">
        <f t="array" ref="D22">IF($E$3="PCR1",_xlfn._xlws.FILTER('LC Calculations'!$T$18:$T$41,'LC Calculations'!$P$18:$P$41=B22),"")</f>
        <v/>
      </c>
      <c r="E22" s="12" t="str">
        <f t="array" ref="E22">IF($E$3="PCR1",_xlfn._xlws.FILTER('LC Calculations'!$AD$18:$AD$41,'LC Calculations'!$P$18:$P$41=B22),"")</f>
        <v/>
      </c>
      <c r="F22" s="12" t="str">
        <f t="array" ref="F22">IF($E$3="PCR1",_xlfn._xlws.FILTER('LC Calculations'!$U$18:$U$41,'LC Calculations'!$P$18:$P$41=B22),"")</f>
        <v/>
      </c>
      <c r="G22" s="8">
        <f t="array" ref="G22">IF($E$3="PCR2",_xlfn._xlws.FILTER('LC Calculations'!$T$18:$T$41,'LC Calculations'!$P$18:$P$41=B22),"")</f>
        <v>0</v>
      </c>
      <c r="H22" s="8">
        <f t="array" ref="H22">IF($E$3="PCR2",10*_xlfn._xlws.FILTER('LC Calculations'!$AD$18:$AD$41,'LC Calculations'!$P$18:$P$41=B22),"")</f>
        <v>0</v>
      </c>
      <c r="I22" s="12">
        <f t="array" ref="I22">IF($E$3="PCR2",_xlfn._xlws.FILTER('LC Calculations'!$U$18:$U$41,'LC Calculations'!$P$18:$P$41=B22),"")</f>
        <v>0</v>
      </c>
      <c r="K22" s="38" t="s">
        <v>37</v>
      </c>
      <c r="L22" s="38" t="s">
        <v>166</v>
      </c>
      <c r="M22" s="38" t="s">
        <v>165</v>
      </c>
      <c r="N22" s="38" t="s">
        <v>235</v>
      </c>
      <c r="Q22" s="38" t="s">
        <v>37</v>
      </c>
      <c r="R22" s="37" t="s">
        <v>176</v>
      </c>
      <c r="S22" s="37" t="s">
        <v>174</v>
      </c>
      <c r="T22" s="37" t="s">
        <v>175</v>
      </c>
      <c r="U22" s="37" t="s">
        <v>293</v>
      </c>
      <c r="V22" s="37" t="s">
        <v>110</v>
      </c>
    </row>
    <row r="23" spans="2:22">
      <c r="B23" s="9">
        <v>17</v>
      </c>
      <c r="C23" s="9" t="str">
        <f>IF(ISBLANK('Sample List'!C22)=TRUE,"",'Sample List'!C22)</f>
        <v>PD005563RME1_D_Hu_01</v>
      </c>
      <c r="D23" s="8" t="str">
        <f t="array" ref="D23">IF($E$3="PCR1",_xlfn._xlws.FILTER('LC Calculations'!$T$18:$T$41,'LC Calculations'!$P$18:$P$41=B23),"")</f>
        <v/>
      </c>
      <c r="E23" s="12" t="str">
        <f t="array" ref="E23">IF($E$3="PCR1",_xlfn._xlws.FILTER('LC Calculations'!$AD$18:$AD$41,'LC Calculations'!$P$18:$P$41=B23),"")</f>
        <v/>
      </c>
      <c r="F23" s="12" t="str">
        <f t="array" ref="F23">IF($E$3="PCR1",_xlfn._xlws.FILTER('LC Calculations'!$U$18:$U$41,'LC Calculations'!$P$18:$P$41=B23),"")</f>
        <v/>
      </c>
      <c r="G23" s="8">
        <f t="array" ref="G23">IF($E$3="PCR2",_xlfn._xlws.FILTER('LC Calculations'!$T$18:$T$41,'LC Calculations'!$P$18:$P$41=B23),"")</f>
        <v>0</v>
      </c>
      <c r="H23" s="8">
        <f t="array" ref="H23">IF($E$3="PCR2",10*_xlfn._xlws.FILTER('LC Calculations'!$AD$18:$AD$41,'LC Calculations'!$P$18:$P$41=B23),"")</f>
        <v>0</v>
      </c>
      <c r="I23" s="12">
        <f t="array" ref="I23">IF($E$3="PCR2",_xlfn._xlws.FILTER('LC Calculations'!$U$18:$U$41,'LC Calculations'!$P$18:$P$41=B23),"")</f>
        <v>0</v>
      </c>
      <c r="K23" s="9" t="s">
        <v>5</v>
      </c>
      <c r="L23" s="8">
        <f>L7</f>
        <v>0</v>
      </c>
      <c r="M23" s="8">
        <f>M7</f>
        <v>0</v>
      </c>
      <c r="N23" s="15">
        <f>LOG(Q7)</f>
        <v>5.1762649421141465</v>
      </c>
      <c r="Q23" s="9" t="s">
        <v>5</v>
      </c>
      <c r="R23" s="8" t="e">
        <f>'LC Calculations'!Q6</f>
        <v>#VALUE!</v>
      </c>
      <c r="S23" s="8">
        <f>'LC Calculations'!R6</f>
        <v>0</v>
      </c>
      <c r="T23" s="8">
        <f>'LC Calculations'!S6</f>
        <v>0</v>
      </c>
      <c r="U23" s="8">
        <f>'LC Calculations'!U6</f>
        <v>0</v>
      </c>
      <c r="V23" s="8" t="s">
        <v>179</v>
      </c>
    </row>
    <row r="24" spans="2:22">
      <c r="B24" s="9">
        <v>18</v>
      </c>
      <c r="C24" s="9" t="str">
        <f>IF(ISBLANK('Sample List'!C23)=TRUE,"",'Sample List'!C23)</f>
        <v>PD005562RME1_D_Hu_01</v>
      </c>
      <c r="D24" s="8" t="str">
        <f t="array" ref="D24">IF($E$3="PCR1",_xlfn._xlws.FILTER('LC Calculations'!$T$18:$T$41,'LC Calculations'!$P$18:$P$41=B24),"")</f>
        <v/>
      </c>
      <c r="E24" s="12" t="str">
        <f t="array" ref="E24">IF($E$3="PCR1",_xlfn._xlws.FILTER('LC Calculations'!$AD$18:$AD$41,'LC Calculations'!$P$18:$P$41=B24),"")</f>
        <v/>
      </c>
      <c r="F24" s="12" t="str">
        <f t="array" ref="F24">IF($E$3="PCR1",_xlfn._xlws.FILTER('LC Calculations'!$U$18:$U$41,'LC Calculations'!$P$18:$P$41=B24),"")</f>
        <v/>
      </c>
      <c r="G24" s="8">
        <f t="array" ref="G24">IF($E$3="PCR2",_xlfn._xlws.FILTER('LC Calculations'!$T$18:$T$41,'LC Calculations'!$P$18:$P$41=B24),"")</f>
        <v>0</v>
      </c>
      <c r="H24" s="8">
        <f t="array" ref="H24">IF($E$3="PCR2",10*_xlfn._xlws.FILTER('LC Calculations'!$AD$18:$AD$41,'LC Calculations'!$P$18:$P$41=B24),"")</f>
        <v>0</v>
      </c>
      <c r="I24" s="12">
        <f t="array" ref="I24">IF($E$3="PCR2",_xlfn._xlws.FILTER('LC Calculations'!$U$18:$U$41,'LC Calculations'!$P$18:$P$41=B24),"")</f>
        <v>0</v>
      </c>
      <c r="K24" s="9" t="s">
        <v>6</v>
      </c>
      <c r="L24" s="8">
        <f t="shared" ref="L24:L27" si="2">L8</f>
        <v>0</v>
      </c>
      <c r="M24" s="8">
        <f t="shared" ref="M24:M28" si="3">M8</f>
        <v>0</v>
      </c>
      <c r="N24" s="15">
        <f t="shared" ref="N24:N26" si="4">LOG(Q8)</f>
        <v>4.5284474602255083</v>
      </c>
      <c r="Q24" s="9" t="s">
        <v>6</v>
      </c>
      <c r="R24" s="8" t="e">
        <f>'LC Calculations'!Q7</f>
        <v>#VALUE!</v>
      </c>
      <c r="S24" s="8">
        <f>'LC Calculations'!R7</f>
        <v>0</v>
      </c>
      <c r="T24" s="8">
        <f>'LC Calculations'!S7</f>
        <v>0</v>
      </c>
      <c r="U24" s="8">
        <f>'LC Calculations'!U7</f>
        <v>0</v>
      </c>
      <c r="V24" s="8">
        <f>L24-L23</f>
        <v>0</v>
      </c>
    </row>
    <row r="25" spans="2:22">
      <c r="B25" s="9">
        <v>19</v>
      </c>
      <c r="C25" s="9" t="str">
        <f>IF(ISBLANK('Sample List'!C24)=TRUE,"",'Sample List'!C24)</f>
        <v>PD005561RME1_D_Hu_01</v>
      </c>
      <c r="D25" s="8" t="str">
        <f t="array" ref="D25">IF($E$3="PCR1",_xlfn._xlws.FILTER('LC Calculations'!$T$18:$T$41,'LC Calculations'!$P$18:$P$41=B25),"")</f>
        <v/>
      </c>
      <c r="E25" s="12" t="str">
        <f t="array" ref="E25">IF($E$3="PCR1",_xlfn._xlws.FILTER('LC Calculations'!$AD$18:$AD$41,'LC Calculations'!$P$18:$P$41=B25),"")</f>
        <v/>
      </c>
      <c r="F25" s="12" t="str">
        <f t="array" ref="F25">IF($E$3="PCR1",_xlfn._xlws.FILTER('LC Calculations'!$U$18:$U$41,'LC Calculations'!$P$18:$P$41=B25),"")</f>
        <v/>
      </c>
      <c r="G25" s="8">
        <f t="array" ref="G25">IF($E$3="PCR2",_xlfn._xlws.FILTER('LC Calculations'!$T$18:$T$41,'LC Calculations'!$P$18:$P$41=B25),"")</f>
        <v>0</v>
      </c>
      <c r="H25" s="8">
        <f t="array" ref="H25">IF($E$3="PCR2",10*_xlfn._xlws.FILTER('LC Calculations'!$AD$18:$AD$41,'LC Calculations'!$P$18:$P$41=B25),"")</f>
        <v>0</v>
      </c>
      <c r="I25" s="12">
        <f t="array" ref="I25">IF($E$3="PCR2",_xlfn._xlws.FILTER('LC Calculations'!$U$18:$U$41,'LC Calculations'!$P$18:$P$41=B25),"")</f>
        <v>0</v>
      </c>
      <c r="K25" s="9" t="s">
        <v>7</v>
      </c>
      <c r="L25" s="8">
        <f t="shared" si="2"/>
        <v>0</v>
      </c>
      <c r="M25" s="8">
        <f t="shared" si="3"/>
        <v>0</v>
      </c>
      <c r="N25" s="15">
        <f t="shared" si="4"/>
        <v>3.880629978336871</v>
      </c>
      <c r="Q25" s="9" t="s">
        <v>7</v>
      </c>
      <c r="R25" s="8" t="e">
        <f>'LC Calculations'!Q8</f>
        <v>#VALUE!</v>
      </c>
      <c r="S25" s="8">
        <f>'LC Calculations'!R8</f>
        <v>0</v>
      </c>
      <c r="T25" s="8">
        <f>'LC Calculations'!S8</f>
        <v>0</v>
      </c>
      <c r="U25" s="8">
        <f>'LC Calculations'!U8</f>
        <v>0</v>
      </c>
      <c r="V25" s="8">
        <f t="shared" ref="V25:V27" si="5">L25-L24</f>
        <v>0</v>
      </c>
    </row>
    <row r="26" spans="2:22">
      <c r="B26" s="9">
        <v>20</v>
      </c>
      <c r="C26" s="9" t="str">
        <f>IF(ISBLANK('Sample List'!C25)=TRUE,"",'Sample List'!C25)</f>
        <v>PD005558RME1_D_Hu_01</v>
      </c>
      <c r="D26" s="8" t="str">
        <f t="array" ref="D26">IF($E$3="PCR1",_xlfn._xlws.FILTER('LC Calculations'!$T$18:$T$41,'LC Calculations'!$P$18:$P$41=B26),"")</f>
        <v/>
      </c>
      <c r="E26" s="12" t="str">
        <f t="array" ref="E26">IF($E$3="PCR1",_xlfn._xlws.FILTER('LC Calculations'!$AD$18:$AD$41,'LC Calculations'!$P$18:$P$41=B26),"")</f>
        <v/>
      </c>
      <c r="F26" s="12" t="str">
        <f t="array" ref="F26">IF($E$3="PCR1",_xlfn._xlws.FILTER('LC Calculations'!$U$18:$U$41,'LC Calculations'!$P$18:$P$41=B26),"")</f>
        <v/>
      </c>
      <c r="G26" s="8">
        <f t="array" ref="G26">IF($E$3="PCR2",_xlfn._xlws.FILTER('LC Calculations'!$T$18:$T$41,'LC Calculations'!$P$18:$P$41=B26),"")</f>
        <v>0</v>
      </c>
      <c r="H26" s="8">
        <f t="array" ref="H26">IF($E$3="PCR2",10*_xlfn._xlws.FILTER('LC Calculations'!$AD$18:$AD$41,'LC Calculations'!$P$18:$P$41=B26),"")</f>
        <v>0</v>
      </c>
      <c r="I26" s="12">
        <f t="array" ref="I26">IF($E$3="PCR2",_xlfn._xlws.FILTER('LC Calculations'!$U$18:$U$41,'LC Calculations'!$P$18:$P$41=B26),"")</f>
        <v>0</v>
      </c>
      <c r="K26" s="9" t="s">
        <v>8</v>
      </c>
      <c r="L26" s="8">
        <f t="shared" si="2"/>
        <v>0</v>
      </c>
      <c r="M26" s="8">
        <f t="shared" si="3"/>
        <v>0</v>
      </c>
      <c r="N26" s="15">
        <f t="shared" si="4"/>
        <v>3.2328124964482337</v>
      </c>
      <c r="Q26" s="9" t="s">
        <v>8</v>
      </c>
      <c r="R26" s="8" t="e">
        <f>'LC Calculations'!Q9</f>
        <v>#VALUE!</v>
      </c>
      <c r="S26" s="8">
        <f>'LC Calculations'!R9</f>
        <v>0</v>
      </c>
      <c r="T26" s="8">
        <f>'LC Calculations'!S9</f>
        <v>0</v>
      </c>
      <c r="U26" s="8">
        <f>'LC Calculations'!U9</f>
        <v>0</v>
      </c>
      <c r="V26" s="8">
        <f t="shared" si="5"/>
        <v>0</v>
      </c>
    </row>
    <row r="27" spans="2:22">
      <c r="B27" s="9">
        <v>21</v>
      </c>
      <c r="C27" s="9" t="str">
        <f>IF(ISBLANK('Sample List'!C26)=TRUE,"",'Sample List'!C26)</f>
        <v>PD005557RME1_D_Hu_01</v>
      </c>
      <c r="D27" s="8" t="str">
        <f t="array" ref="D27">IF($E$3="PCR1",_xlfn._xlws.FILTER('LC Calculations'!$T$18:$T$41,'LC Calculations'!$P$18:$P$41=B27),"")</f>
        <v/>
      </c>
      <c r="E27" s="12" t="str">
        <f t="array" ref="E27">IF($E$3="PCR1",_xlfn._xlws.FILTER('LC Calculations'!$AD$18:$AD$41,'LC Calculations'!$P$18:$P$41=B27),"")</f>
        <v/>
      </c>
      <c r="F27" s="12" t="str">
        <f t="array" ref="F27">IF($E$3="PCR1",_xlfn._xlws.FILTER('LC Calculations'!$U$18:$U$41,'LC Calculations'!$P$18:$P$41=B27),"")</f>
        <v/>
      </c>
      <c r="G27" s="8">
        <f t="array" ref="G27">IF($E$3="PCR2",_xlfn._xlws.FILTER('LC Calculations'!$T$18:$T$41,'LC Calculations'!$P$18:$P$41=B27),"")</f>
        <v>0</v>
      </c>
      <c r="H27" s="8">
        <f t="array" ref="H27">IF($E$3="PCR2",10*_xlfn._xlws.FILTER('LC Calculations'!$AD$18:$AD$41,'LC Calculations'!$P$18:$P$41=B27),"")</f>
        <v>0</v>
      </c>
      <c r="I27" s="12">
        <f t="array" ref="I27">IF($E$3="PCR2",_xlfn._xlws.FILTER('LC Calculations'!$U$18:$U$41,'LC Calculations'!$P$18:$P$41=B27),"")</f>
        <v>0</v>
      </c>
      <c r="K27" s="9" t="s">
        <v>9</v>
      </c>
      <c r="L27" s="8">
        <f t="shared" si="2"/>
        <v>0</v>
      </c>
      <c r="M27" s="8">
        <f t="shared" si="3"/>
        <v>0</v>
      </c>
      <c r="N27" s="15">
        <f>LOG(Q11)</f>
        <v>2.5849950145595963</v>
      </c>
      <c r="Q27" s="9" t="s">
        <v>9</v>
      </c>
      <c r="R27" s="8" t="e">
        <f>'LC Calculations'!Q10</f>
        <v>#VALUE!</v>
      </c>
      <c r="S27" s="8">
        <f>'LC Calculations'!R10</f>
        <v>0</v>
      </c>
      <c r="T27" s="8">
        <f>'LC Calculations'!S10</f>
        <v>0</v>
      </c>
      <c r="U27" s="8">
        <f>'LC Calculations'!U10</f>
        <v>0</v>
      </c>
      <c r="V27" s="8">
        <f t="shared" si="5"/>
        <v>0</v>
      </c>
    </row>
    <row r="28" spans="2:22">
      <c r="B28" s="9">
        <v>22</v>
      </c>
      <c r="C28" s="9" t="str">
        <f>IF(ISBLANK('Sample List'!C27)=TRUE,"",'Sample List'!C27)</f>
        <v>PD005556RME1_D_Hu_01</v>
      </c>
      <c r="D28" s="8" t="str">
        <f t="array" ref="D28">IF($E$3="PCR1",_xlfn._xlws.FILTER('LC Calculations'!$T$18:$T$41,'LC Calculations'!$P$18:$P$41=B28),"")</f>
        <v/>
      </c>
      <c r="E28" s="12" t="str">
        <f t="array" ref="E28">IF($E$3="PCR1",_xlfn._xlws.FILTER('LC Calculations'!$AD$18:$AD$41,'LC Calculations'!$P$18:$P$41=B28),"")</f>
        <v/>
      </c>
      <c r="F28" s="12" t="str">
        <f t="array" ref="F28">IF($E$3="PCR1",_xlfn._xlws.FILTER('LC Calculations'!$U$18:$U$41,'LC Calculations'!$P$18:$P$41=B28),"")</f>
        <v/>
      </c>
      <c r="G28" s="8">
        <f t="array" ref="G28">IF($E$3="PCR2",_xlfn._xlws.FILTER('LC Calculations'!$T$18:$T$41,'LC Calculations'!$P$18:$P$41=B28),"")</f>
        <v>0</v>
      </c>
      <c r="H28" s="8">
        <f t="array" ref="H28">IF($E$3="PCR2",10*_xlfn._xlws.FILTER('LC Calculations'!$AD$18:$AD$41,'LC Calculations'!$P$18:$P$41=B28),"")</f>
        <v>0</v>
      </c>
      <c r="I28" s="12">
        <f t="array" ref="I28">IF($E$3="PCR2",_xlfn._xlws.FILTER('LC Calculations'!$U$18:$U$41,'LC Calculations'!$P$18:$P$41=B28),"")</f>
        <v>0</v>
      </c>
      <c r="K28" s="9" t="s">
        <v>10</v>
      </c>
      <c r="L28" s="8">
        <f>L12</f>
        <v>0</v>
      </c>
      <c r="M28" s="8">
        <f t="shared" si="3"/>
        <v>0</v>
      </c>
      <c r="N28" s="15">
        <f>LOG(Q12)</f>
        <v>1.9371775326709586</v>
      </c>
      <c r="Q28" s="9" t="s">
        <v>10</v>
      </c>
      <c r="R28" s="8" t="e">
        <f>'LC Calculations'!Q11</f>
        <v>#VALUE!</v>
      </c>
      <c r="S28" s="8">
        <f>'LC Calculations'!R11</f>
        <v>0</v>
      </c>
      <c r="T28" s="8">
        <f>'LC Calculations'!S11</f>
        <v>0</v>
      </c>
      <c r="U28" s="8">
        <f>'LC Calculations'!U11</f>
        <v>0</v>
      </c>
      <c r="V28" s="8">
        <f>L28-L27</f>
        <v>0</v>
      </c>
    </row>
    <row r="29" spans="2:22">
      <c r="B29" s="9">
        <v>23</v>
      </c>
      <c r="C29" s="9" t="str">
        <f>IF(ISBLANK('Sample List'!C28)=TRUE,"",'Sample List'!C28)</f>
        <v>DEN078-POS_D_Hu_01</v>
      </c>
      <c r="D29" s="8" t="str">
        <f t="array" ref="D29">IF($E$3="PCR1",_xlfn._xlws.FILTER('LC Calculations'!$T$18:$T$41,'LC Calculations'!$P$18:$P$41=B29),"")</f>
        <v/>
      </c>
      <c r="E29" s="12" t="str">
        <f t="array" ref="E29">IF($E$3="PCR1",_xlfn._xlws.FILTER('LC Calculations'!$AD$18:$AD$41,'LC Calculations'!$P$18:$P$41=B29),"")</f>
        <v/>
      </c>
      <c r="F29" s="12" t="str">
        <f t="array" ref="F29">IF($E$3="PCR1",_xlfn._xlws.FILTER('LC Calculations'!$U$18:$U$41,'LC Calculations'!$P$18:$P$41=B29),"")</f>
        <v/>
      </c>
      <c r="G29" s="8">
        <f t="array" ref="G29">IF($E$3="PCR2",_xlfn._xlws.FILTER('LC Calculations'!$T$18:$T$41,'LC Calculations'!$P$18:$P$41=B29),"")</f>
        <v>0</v>
      </c>
      <c r="H29" s="8">
        <f t="array" ref="H29">IF($E$3="PCR2",10*_xlfn._xlws.FILTER('LC Calculations'!$AD$18:$AD$41,'LC Calculations'!$P$18:$P$41=B29),"")</f>
        <v>0</v>
      </c>
      <c r="I29" s="12">
        <f t="array" ref="I29">IF($E$3="PCR2",_xlfn._xlws.FILTER('LC Calculations'!$U$18:$U$41,'LC Calculations'!$P$18:$P$41=B29),"")</f>
        <v>0</v>
      </c>
      <c r="K29" s="32" t="s">
        <v>236</v>
      </c>
      <c r="L29" s="2"/>
      <c r="M29" s="2"/>
      <c r="N29" s="17"/>
      <c r="Q29" s="3"/>
      <c r="R29" s="2"/>
      <c r="S29" s="2"/>
      <c r="T29" s="2"/>
      <c r="U29" s="2"/>
      <c r="V29" s="2"/>
    </row>
    <row r="30" spans="2:22">
      <c r="B30" s="9">
        <v>24</v>
      </c>
      <c r="C30" s="9" t="str">
        <f>IF(ISBLANK('Sample List'!C29)=TRUE,"",'Sample List'!C29)</f>
        <v>DEN078-NEG_D_Hu_01</v>
      </c>
      <c r="D30" s="8" t="str">
        <f t="array" ref="D30">IF($E$3="PCR1",_xlfn._xlws.FILTER('LC Calculations'!$T$18:$T$41,'LC Calculations'!$P$18:$P$41=B30),"")</f>
        <v/>
      </c>
      <c r="E30" s="12" t="str">
        <f t="array" ref="E30">IF($E$3="PCR1",_xlfn._xlws.FILTER('LC Calculations'!$AD$18:$AD$41,'LC Calculations'!$P$18:$P$41=B30),"")</f>
        <v/>
      </c>
      <c r="F30" s="12" t="str">
        <f t="array" ref="F30">IF($E$3="PCR1",_xlfn._xlws.FILTER('LC Calculations'!$U$18:$U$41,'LC Calculations'!$P$18:$P$41=B30),"")</f>
        <v/>
      </c>
      <c r="G30" s="8">
        <f t="array" ref="G30">IF($E$3="PCR2",_xlfn._xlws.FILTER('LC Calculations'!$T$18:$T$41,'LC Calculations'!$P$18:$P$41=B30),"")</f>
        <v>0</v>
      </c>
      <c r="H30" s="8">
        <f t="array" ref="H30">IF($E$3="PCR2",10*_xlfn._xlws.FILTER('LC Calculations'!$AD$18:$AD$41,'LC Calculations'!$P$18:$P$41=B30),"")</f>
        <v>0</v>
      </c>
      <c r="I30" s="12">
        <f t="array" ref="I30">IF($E$3="PCR2",_xlfn._xlws.FILTER('LC Calculations'!$U$18:$U$41,'LC Calculations'!$P$18:$P$41=B30),"")</f>
        <v>0</v>
      </c>
    </row>
    <row r="31" spans="2:22">
      <c r="B31" s="9" t="str">
        <f>'Sample List'!B30</f>
        <v xml:space="preserve">POS Control </v>
      </c>
      <c r="C31" s="9" t="str">
        <f>'Sample List'!C30</f>
        <v>Human Male DNA 10ng/uL</v>
      </c>
      <c r="D31" s="8" t="str">
        <f>IF(E3="PCR1",'LC Calculations'!T12,"")</f>
        <v/>
      </c>
      <c r="E31" s="12" t="str">
        <f>IF(E3="PCR1",'LC Calculations'!AD12,"")</f>
        <v/>
      </c>
      <c r="F31" s="78" t="str">
        <f>IF(E3="PCR1",'LC Calculations'!U12,"")</f>
        <v/>
      </c>
      <c r="G31" s="8">
        <f>IF(E3="PCR2",'LC Calculations'!T12,"")</f>
        <v>0</v>
      </c>
      <c r="H31" s="12">
        <f>IF(E3="PCR2",'LC Calculations'!AD12,"")</f>
        <v>0</v>
      </c>
      <c r="I31" s="78">
        <f>IF(E3="PCR2",'LC Calculations'!U12,"")</f>
        <v>0</v>
      </c>
      <c r="K31" s="10" t="s">
        <v>178</v>
      </c>
    </row>
    <row r="32" spans="2:22">
      <c r="B32" s="9" t="str">
        <f>'Sample List'!B31</f>
        <v>NEG Control</v>
      </c>
      <c r="C32" s="9" t="str">
        <f>'Sample List'!C31</f>
        <v>NF-Water</v>
      </c>
      <c r="D32" s="8" t="str">
        <f>IF(E3="PCR1",'LC Calculations'!T13,"")</f>
        <v/>
      </c>
      <c r="E32" s="12" t="str">
        <f>IF(E3="PCR1",'LC Calculations'!AD13,"")</f>
        <v/>
      </c>
      <c r="F32" s="78" t="str">
        <f>IF(E3="PCR1",'LC Calculations'!U13,"")</f>
        <v/>
      </c>
      <c r="G32" s="8">
        <f>IF(E3="PCR2",'LC Calculations'!T13,"")</f>
        <v>0</v>
      </c>
      <c r="H32" s="12">
        <f>IF(E3="PCR2",'LC Calculations'!AD13,"")</f>
        <v>0</v>
      </c>
      <c r="I32" s="78">
        <f>IF(E3="PCR2",'LC Calculations'!U13,"")</f>
        <v>0</v>
      </c>
    </row>
    <row r="33" spans="2:23">
      <c r="B33" s="32" t="s">
        <v>223</v>
      </c>
      <c r="C33" s="3"/>
      <c r="D33" s="3"/>
      <c r="G33" s="2"/>
      <c r="H33" s="2"/>
      <c r="I33" s="2"/>
    </row>
    <row r="34" spans="2:23">
      <c r="D34" s="5"/>
      <c r="G34" s="2"/>
      <c r="H34" s="2"/>
      <c r="I34" s="2"/>
    </row>
    <row r="35" spans="2:23">
      <c r="B35" s="10" t="s">
        <v>224</v>
      </c>
      <c r="C35" s="2"/>
      <c r="D35" s="3"/>
      <c r="G35" s="2"/>
      <c r="H35" s="2"/>
      <c r="I35" s="2"/>
    </row>
    <row r="36" spans="2:23">
      <c r="B36" s="28" t="s">
        <v>283</v>
      </c>
      <c r="C36" s="16" t="s">
        <v>240</v>
      </c>
      <c r="G36" s="2"/>
      <c r="H36" s="2"/>
      <c r="I36" s="2"/>
      <c r="V36" s="1" t="s">
        <v>181</v>
      </c>
    </row>
    <row r="37" spans="2:23">
      <c r="B37" s="81" t="s">
        <v>283</v>
      </c>
      <c r="C37" s="16" t="s">
        <v>305</v>
      </c>
      <c r="G37" s="2"/>
      <c r="H37" s="2"/>
      <c r="I37" s="2"/>
      <c r="V37" s="17">
        <f>INTERCEPT(L23:L28,N23:N28)</f>
        <v>0</v>
      </c>
      <c r="W37" s="13" t="s">
        <v>180</v>
      </c>
    </row>
    <row r="38" spans="2:23">
      <c r="B38" s="29" t="s">
        <v>283</v>
      </c>
      <c r="C38" s="16" t="s">
        <v>239</v>
      </c>
      <c r="G38" s="2"/>
      <c r="H38" s="2"/>
      <c r="I38" s="2"/>
      <c r="V38" s="17">
        <f>SLOPE(L23:L28,N23:N28)</f>
        <v>0</v>
      </c>
      <c r="W38" s="13" t="s">
        <v>182</v>
      </c>
    </row>
    <row r="39" spans="2:23">
      <c r="B39" s="80" t="s">
        <v>283</v>
      </c>
      <c r="C39" s="79" t="s">
        <v>306</v>
      </c>
      <c r="G39" s="2"/>
      <c r="H39" s="2"/>
      <c r="I39" s="2"/>
    </row>
    <row r="40" spans="2:23">
      <c r="G40" s="2"/>
      <c r="H40" s="2"/>
      <c r="I40" s="2"/>
      <c r="V40" s="2" t="e">
        <f>10^(-1/V38)</f>
        <v>#DIV/0!</v>
      </c>
      <c r="W40" s="13" t="s">
        <v>183</v>
      </c>
    </row>
    <row r="41" spans="2:23">
      <c r="G41" s="2"/>
      <c r="H41" s="2"/>
      <c r="I41" s="2"/>
      <c r="V41" s="2" t="e">
        <f>(V40-1)*100</f>
        <v>#DIV/0!</v>
      </c>
      <c r="W41" s="13" t="s">
        <v>184</v>
      </c>
    </row>
    <row r="42" spans="2:23">
      <c r="G42" s="2"/>
      <c r="H42" s="2"/>
      <c r="I42" s="2"/>
      <c r="V42" s="18" t="e">
        <f>RSQ(L23:L28,N23:N28)</f>
        <v>#DIV/0!</v>
      </c>
      <c r="W42" s="13" t="s">
        <v>185</v>
      </c>
    </row>
    <row r="55" spans="11:15">
      <c r="K55" s="10" t="s">
        <v>114</v>
      </c>
    </row>
    <row r="57" spans="11:15">
      <c r="K57" s="159" t="s">
        <v>186</v>
      </c>
      <c r="L57" s="159"/>
      <c r="M57" s="37" t="s">
        <v>187</v>
      </c>
      <c r="N57" s="37" t="s">
        <v>113</v>
      </c>
      <c r="O57" s="37" t="s">
        <v>188</v>
      </c>
    </row>
    <row r="58" spans="11:15">
      <c r="K58" s="115" t="s">
        <v>111</v>
      </c>
      <c r="L58" s="115"/>
      <c r="M58" s="9" t="s">
        <v>115</v>
      </c>
      <c r="N58" s="8" t="e">
        <f>V41</f>
        <v>#DIV/0!</v>
      </c>
      <c r="O58" s="9" t="e">
        <f>IF(N58&lt;115,IF(N58&gt;85,"PASS","FAIL"),"FAIL")</f>
        <v>#DIV/0!</v>
      </c>
    </row>
    <row r="59" spans="11:15" outlineLevel="1">
      <c r="K59" s="115" t="s">
        <v>112</v>
      </c>
      <c r="L59" s="115"/>
      <c r="M59" s="9" t="s">
        <v>116</v>
      </c>
      <c r="N59" s="14" t="e">
        <f>V42</f>
        <v>#DIV/0!</v>
      </c>
      <c r="O59" s="9" t="e">
        <f>IF(N59&gt;=0.98,"PASS","FAIL")</f>
        <v>#DIV/0!</v>
      </c>
    </row>
    <row r="60" spans="11:15" outlineLevel="1">
      <c r="K60" s="115" t="s">
        <v>19</v>
      </c>
      <c r="L60" s="115"/>
      <c r="M60" s="9" t="s">
        <v>237</v>
      </c>
      <c r="N60" s="9">
        <f>L14</f>
        <v>0</v>
      </c>
      <c r="O60" s="9" t="str">
        <f>IF(N60&lt;38,IF(N60&gt;0.01,"FAIL","PASS"),"PASS")</f>
        <v>PASS</v>
      </c>
    </row>
    <row r="61" spans="11:15" outlineLevel="1">
      <c r="K61" s="115" t="s">
        <v>117</v>
      </c>
      <c r="L61" s="115"/>
      <c r="M61" s="9" t="s">
        <v>118</v>
      </c>
      <c r="N61" s="9">
        <f>IFERROR(E31/1000,H31/1000)</f>
        <v>0</v>
      </c>
      <c r="O61" s="9" t="str">
        <f>IF(N61&lt;15,IF(N61&gt;5,"PASS","FAIL"),"FAIL")</f>
        <v>FAIL</v>
      </c>
    </row>
    <row r="62" spans="11:15" outlineLevel="1"/>
    <row r="63" spans="11:15" outlineLevel="1">
      <c r="N63" s="11" t="s">
        <v>189</v>
      </c>
      <c r="O63" s="5" t="e">
        <f>IF(O58="PASS",IF(O59="PASS",IF(O60="PASS",IF(O61="PASS","TRUE"),"FALSE"),"FALSE"),"FALSE")</f>
        <v>#DIV/0!</v>
      </c>
    </row>
  </sheetData>
  <mergeCells count="13">
    <mergeCell ref="D5:F5"/>
    <mergeCell ref="G5:I5"/>
    <mergeCell ref="T3:V3"/>
    <mergeCell ref="Q21:V21"/>
    <mergeCell ref="K61:L61"/>
    <mergeCell ref="K60:L60"/>
    <mergeCell ref="K59:L59"/>
    <mergeCell ref="K58:L58"/>
    <mergeCell ref="K57:L57"/>
    <mergeCell ref="K5:M5"/>
    <mergeCell ref="O5:Q5"/>
    <mergeCell ref="K21:N21"/>
    <mergeCell ref="T5:V5"/>
  </mergeCells>
  <conditionalFormatting sqref="E7:E30 H7:H30">
    <cfRule type="cellIs" dxfId="25" priority="5" operator="equal">
      <formula>0</formula>
    </cfRule>
  </conditionalFormatting>
  <conditionalFormatting sqref="E7:E30">
    <cfRule type="cellIs" dxfId="24" priority="6" operator="lessThan">
      <formula>$M$12</formula>
    </cfRule>
    <cfRule type="cellIs" dxfId="23" priority="19" operator="greaterThan">
      <formula>$M$7</formula>
    </cfRule>
  </conditionalFormatting>
  <conditionalFormatting sqref="F7:F32 I7:I32">
    <cfRule type="cellIs" dxfId="22" priority="1" operator="equal">
      <formula>0</formula>
    </cfRule>
    <cfRule type="containsBlanks" dxfId="21" priority="2">
      <formula>LEN(TRIM(F7))=0</formula>
    </cfRule>
  </conditionalFormatting>
  <conditionalFormatting sqref="F7:F32">
    <cfRule type="cellIs" dxfId="20" priority="4" operator="greaterThan">
      <formula>0.5</formula>
    </cfRule>
  </conditionalFormatting>
  <conditionalFormatting sqref="H7:H30 E7:E30">
    <cfRule type="containsBlanks" dxfId="19" priority="14">
      <formula>LEN(TRIM(E7))=0</formula>
    </cfRule>
  </conditionalFormatting>
  <conditionalFormatting sqref="H7:H30">
    <cfRule type="cellIs" dxfId="18" priority="13" operator="lessThan">
      <formula>$M$12</formula>
    </cfRule>
    <cfRule type="cellIs" dxfId="17" priority="20" operator="greaterThan">
      <formula>(10*$M$7)</formula>
    </cfRule>
  </conditionalFormatting>
  <conditionalFormatting sqref="I7:I32">
    <cfRule type="cellIs" dxfId="16" priority="21" operator="greaterThan">
      <formula>0.5</formula>
    </cfRule>
  </conditionalFormatting>
  <conditionalFormatting sqref="T5:V5">
    <cfRule type="cellIs" dxfId="15" priority="15" operator="equal">
      <formula>"FAILED"</formula>
    </cfRule>
    <cfRule type="cellIs" dxfId="14" priority="18" operator="equal">
      <formula>"PASSED"</formula>
    </cfRule>
  </conditionalFormatting>
  <pageMargins left="0.7" right="0.7" top="0.75" bottom="0.75" header="0.3" footer="0.3"/>
  <pageSetup paperSize="9" scale="5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042DC1-E9EA-47C4-8616-D92CB0241265}">
          <x14:formula1>
            <xm:f>'LC Calculations'!$Y$4:$Y$5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1D08-E2BA-4A83-BFAA-663A528B67E8}">
  <sheetPr codeName="Sheet8"/>
  <dimension ref="A1:AC230"/>
  <sheetViews>
    <sheetView topLeftCell="A177" zoomScaleNormal="100" workbookViewId="0">
      <selection activeCell="K188" sqref="K188"/>
    </sheetView>
  </sheetViews>
  <sheetFormatPr defaultColWidth="8.7265625" defaultRowHeight="14.5"/>
  <cols>
    <col min="1" max="3" width="8.7265625" style="6"/>
    <col min="4" max="4" width="14.26953125" style="6" bestFit="1" customWidth="1"/>
    <col min="5" max="5" width="12.81640625" style="6" bestFit="1" customWidth="1"/>
    <col min="6" max="6" width="10.81640625" style="6" bestFit="1" customWidth="1"/>
    <col min="7" max="7" width="9.1796875" style="6" bestFit="1" customWidth="1"/>
    <col min="8" max="8" width="10.1796875" style="6" bestFit="1" customWidth="1"/>
    <col min="9" max="9" width="14.81640625" style="6" bestFit="1" customWidth="1"/>
    <col min="10" max="16384" width="8.7265625" style="6"/>
  </cols>
  <sheetData>
    <row r="1" spans="1:1">
      <c r="A1" s="7" t="str">
        <f>IF('QS Raw Results'!A25&gt;1, INDEX(_xlfn.TEXTSPLIT(A25,"\"),1,7), "Select All in .txt Export File and Paste into Cell A2")</f>
        <v>2025-11-05_095412_DEN078_RNaseP-16S.eds</v>
      </c>
    </row>
    <row r="2" spans="1:1">
      <c r="A2" s="19" t="s">
        <v>431</v>
      </c>
    </row>
    <row r="3" spans="1:1">
      <c r="A3" s="6" t="s">
        <v>432</v>
      </c>
    </row>
    <row r="4" spans="1:1">
      <c r="A4" s="6" t="s">
        <v>433</v>
      </c>
    </row>
    <row r="5" spans="1:1">
      <c r="A5" s="6" t="s">
        <v>434</v>
      </c>
    </row>
    <row r="6" spans="1:1">
      <c r="A6" s="6" t="s">
        <v>435</v>
      </c>
    </row>
    <row r="7" spans="1:1">
      <c r="A7" s="6" t="s">
        <v>436</v>
      </c>
    </row>
    <row r="8" spans="1:1">
      <c r="A8" s="6" t="s">
        <v>437</v>
      </c>
    </row>
    <row r="9" spans="1:1">
      <c r="A9" s="6" t="s">
        <v>438</v>
      </c>
    </row>
    <row r="10" spans="1:1">
      <c r="A10" s="6" t="s">
        <v>439</v>
      </c>
    </row>
    <row r="11" spans="1:1">
      <c r="A11" s="6" t="s">
        <v>440</v>
      </c>
    </row>
    <row r="12" spans="1:1">
      <c r="A12" s="6" t="s">
        <v>441</v>
      </c>
    </row>
    <row r="13" spans="1:1">
      <c r="A13" s="6" t="s">
        <v>442</v>
      </c>
    </row>
    <row r="14" spans="1:1">
      <c r="A14" s="6" t="s">
        <v>443</v>
      </c>
    </row>
    <row r="15" spans="1:1">
      <c r="A15" s="6" t="s">
        <v>444</v>
      </c>
    </row>
    <row r="16" spans="1:1">
      <c r="A16" s="6" t="s">
        <v>445</v>
      </c>
    </row>
    <row r="17" spans="1:1">
      <c r="A17" s="6" t="s">
        <v>446</v>
      </c>
    </row>
    <row r="18" spans="1:1">
      <c r="A18" s="6" t="s">
        <v>447</v>
      </c>
    </row>
    <row r="19" spans="1:1">
      <c r="A19" s="6" t="s">
        <v>448</v>
      </c>
    </row>
    <row r="20" spans="1:1">
      <c r="A20" s="6" t="s">
        <v>449</v>
      </c>
    </row>
    <row r="21" spans="1:1">
      <c r="A21" s="6" t="s">
        <v>450</v>
      </c>
    </row>
    <row r="22" spans="1:1">
      <c r="A22" s="6" t="s">
        <v>451</v>
      </c>
    </row>
    <row r="23" spans="1:1">
      <c r="A23" s="6" t="s">
        <v>452</v>
      </c>
    </row>
    <row r="24" spans="1:1">
      <c r="A24" s="6" t="s">
        <v>453</v>
      </c>
    </row>
    <row r="25" spans="1:1">
      <c r="A25" s="6" t="s">
        <v>454</v>
      </c>
    </row>
    <row r="26" spans="1:1">
      <c r="A26" s="6" t="s">
        <v>455</v>
      </c>
    </row>
    <row r="27" spans="1:1">
      <c r="A27" s="6" t="s">
        <v>456</v>
      </c>
    </row>
    <row r="28" spans="1:1">
      <c r="A28" s="6" t="s">
        <v>457</v>
      </c>
    </row>
    <row r="29" spans="1:1">
      <c r="A29" s="6" t="s">
        <v>458</v>
      </c>
    </row>
    <row r="30" spans="1:1">
      <c r="A30" s="6" t="s">
        <v>459</v>
      </c>
    </row>
    <row r="31" spans="1:1">
      <c r="A31" s="6" t="s">
        <v>460</v>
      </c>
    </row>
    <row r="32" spans="1:1">
      <c r="A32" s="6" t="s">
        <v>461</v>
      </c>
    </row>
    <row r="33" spans="1:29">
      <c r="A33" s="6" t="s">
        <v>462</v>
      </c>
    </row>
    <row r="34" spans="1:29">
      <c r="A34" s="6" t="s">
        <v>463</v>
      </c>
    </row>
    <row r="35" spans="1:29">
      <c r="A35" s="6" t="s">
        <v>464</v>
      </c>
    </row>
    <row r="36" spans="1:29">
      <c r="A36" s="6" t="s">
        <v>465</v>
      </c>
    </row>
    <row r="37" spans="1:29">
      <c r="A37" s="6" t="s">
        <v>466</v>
      </c>
    </row>
    <row r="38" spans="1:29">
      <c r="A38" s="6" t="s">
        <v>467</v>
      </c>
    </row>
    <row r="40" spans="1:29">
      <c r="A40" s="6" t="s">
        <v>468</v>
      </c>
    </row>
    <row r="41" spans="1:29">
      <c r="A41" s="6" t="s">
        <v>469</v>
      </c>
      <c r="B41" s="6" t="s">
        <v>470</v>
      </c>
      <c r="C41" s="6" t="s">
        <v>471</v>
      </c>
      <c r="D41" s="6" t="s">
        <v>472</v>
      </c>
      <c r="E41" s="6" t="s">
        <v>473</v>
      </c>
      <c r="F41" s="6" t="s">
        <v>474</v>
      </c>
      <c r="G41" s="6" t="s">
        <v>475</v>
      </c>
      <c r="H41" s="6" t="s">
        <v>476</v>
      </c>
      <c r="I41" s="6" t="s">
        <v>477</v>
      </c>
      <c r="J41" s="6" t="s">
        <v>478</v>
      </c>
      <c r="K41" s="6" t="s">
        <v>479</v>
      </c>
      <c r="L41" s="6" t="s">
        <v>480</v>
      </c>
      <c r="M41" s="6" t="s">
        <v>481</v>
      </c>
      <c r="N41" s="6" t="s">
        <v>482</v>
      </c>
      <c r="O41" s="6" t="s">
        <v>483</v>
      </c>
      <c r="P41" s="6" t="s">
        <v>484</v>
      </c>
      <c r="Q41" s="6" t="s">
        <v>485</v>
      </c>
      <c r="R41" s="6" t="s">
        <v>486</v>
      </c>
      <c r="S41" s="6" t="s">
        <v>487</v>
      </c>
      <c r="T41" s="6" t="s">
        <v>488</v>
      </c>
      <c r="U41" s="6" t="s">
        <v>489</v>
      </c>
      <c r="V41" s="6" t="s">
        <v>490</v>
      </c>
      <c r="W41" s="6" t="s">
        <v>491</v>
      </c>
      <c r="X41" s="6" t="s">
        <v>492</v>
      </c>
      <c r="Y41" s="6" t="s">
        <v>493</v>
      </c>
      <c r="Z41" s="6" t="s">
        <v>494</v>
      </c>
      <c r="AA41" s="6" t="s">
        <v>495</v>
      </c>
      <c r="AB41" s="6" t="s">
        <v>496</v>
      </c>
      <c r="AC41" s="6" t="s">
        <v>497</v>
      </c>
    </row>
    <row r="42" spans="1:29">
      <c r="A42" s="6">
        <v>1</v>
      </c>
      <c r="B42" s="6" t="s">
        <v>241</v>
      </c>
      <c r="C42" s="6" t="b">
        <v>0</v>
      </c>
      <c r="D42" s="6" t="s">
        <v>225</v>
      </c>
      <c r="E42" s="6" t="s">
        <v>498</v>
      </c>
      <c r="F42" s="6" t="s">
        <v>499</v>
      </c>
      <c r="G42" s="6" t="s">
        <v>500</v>
      </c>
      <c r="H42" s="6" t="s">
        <v>501</v>
      </c>
      <c r="I42" s="6">
        <v>21.844000000000001</v>
      </c>
      <c r="J42" s="6">
        <v>21.936</v>
      </c>
      <c r="K42" s="6">
        <v>0.13400000000000001</v>
      </c>
      <c r="S42" s="6" t="b">
        <v>1</v>
      </c>
      <c r="T42" s="6">
        <v>0.20699999999999999</v>
      </c>
      <c r="U42" s="6" t="b">
        <v>1</v>
      </c>
      <c r="V42" s="6">
        <v>3</v>
      </c>
      <c r="W42" s="6">
        <v>17</v>
      </c>
      <c r="X42" s="6" t="s">
        <v>502</v>
      </c>
      <c r="Z42" s="6">
        <v>0.97199999999999998</v>
      </c>
      <c r="AA42" s="6" t="s">
        <v>503</v>
      </c>
      <c r="AB42" s="6" t="s">
        <v>503</v>
      </c>
      <c r="AC42" s="6" t="s">
        <v>503</v>
      </c>
    </row>
    <row r="43" spans="1:29">
      <c r="A43" s="6">
        <v>1</v>
      </c>
      <c r="B43" s="6" t="s">
        <v>241</v>
      </c>
      <c r="C43" s="6" t="b">
        <v>0</v>
      </c>
      <c r="D43" s="6" t="s">
        <v>225</v>
      </c>
      <c r="E43" s="6" t="s">
        <v>504</v>
      </c>
      <c r="F43" s="6" t="s">
        <v>499</v>
      </c>
      <c r="G43" s="6" t="s">
        <v>505</v>
      </c>
      <c r="H43" s="6" t="s">
        <v>501</v>
      </c>
      <c r="I43" s="6">
        <v>13.061</v>
      </c>
      <c r="J43" s="6">
        <v>13.128</v>
      </c>
      <c r="K43" s="6">
        <v>0.1</v>
      </c>
      <c r="S43" s="6" t="b">
        <v>1</v>
      </c>
      <c r="T43" s="6">
        <v>0.16400000000000001</v>
      </c>
      <c r="U43" s="6" t="b">
        <v>1</v>
      </c>
      <c r="V43" s="6">
        <v>3</v>
      </c>
      <c r="W43" s="6">
        <v>8</v>
      </c>
      <c r="X43" s="6" t="s">
        <v>502</v>
      </c>
      <c r="Z43" s="6">
        <v>0.95799999999999996</v>
      </c>
      <c r="AA43" s="6" t="s">
        <v>503</v>
      </c>
      <c r="AB43" s="6" t="s">
        <v>503</v>
      </c>
      <c r="AC43" s="6" t="s">
        <v>503</v>
      </c>
    </row>
    <row r="44" spans="1:29">
      <c r="A44" s="6">
        <v>2</v>
      </c>
      <c r="B44" s="6" t="s">
        <v>242</v>
      </c>
      <c r="C44" s="6" t="b">
        <v>0</v>
      </c>
      <c r="D44" s="6" t="s">
        <v>225</v>
      </c>
      <c r="E44" s="6" t="s">
        <v>498</v>
      </c>
      <c r="F44" s="6" t="s">
        <v>499</v>
      </c>
      <c r="G44" s="6" t="s">
        <v>500</v>
      </c>
      <c r="H44" s="6" t="s">
        <v>501</v>
      </c>
      <c r="I44" s="6">
        <v>21.873999999999999</v>
      </c>
      <c r="J44" s="6">
        <v>21.936</v>
      </c>
      <c r="K44" s="6">
        <v>0.13400000000000001</v>
      </c>
      <c r="S44" s="6" t="b">
        <v>1</v>
      </c>
      <c r="T44" s="6">
        <v>0.20699999999999999</v>
      </c>
      <c r="U44" s="6" t="b">
        <v>1</v>
      </c>
      <c r="V44" s="6">
        <v>3</v>
      </c>
      <c r="W44" s="6">
        <v>17</v>
      </c>
      <c r="X44" s="6" t="s">
        <v>502</v>
      </c>
      <c r="Z44" s="6">
        <v>0.95799999999999996</v>
      </c>
      <c r="AA44" s="6" t="s">
        <v>503</v>
      </c>
      <c r="AB44" s="6" t="s">
        <v>503</v>
      </c>
      <c r="AC44" s="6" t="s">
        <v>503</v>
      </c>
    </row>
    <row r="45" spans="1:29">
      <c r="A45" s="6">
        <v>2</v>
      </c>
      <c r="B45" s="6" t="s">
        <v>242</v>
      </c>
      <c r="C45" s="6" t="b">
        <v>0</v>
      </c>
      <c r="D45" s="6" t="s">
        <v>225</v>
      </c>
      <c r="E45" s="6" t="s">
        <v>504</v>
      </c>
      <c r="F45" s="6" t="s">
        <v>499</v>
      </c>
      <c r="G45" s="6" t="s">
        <v>505</v>
      </c>
      <c r="H45" s="6" t="s">
        <v>501</v>
      </c>
      <c r="I45" s="6">
        <v>13.081</v>
      </c>
      <c r="J45" s="6">
        <v>13.128</v>
      </c>
      <c r="K45" s="6">
        <v>0.1</v>
      </c>
      <c r="S45" s="6" t="b">
        <v>1</v>
      </c>
      <c r="T45" s="6">
        <v>0.16400000000000001</v>
      </c>
      <c r="U45" s="6" t="b">
        <v>1</v>
      </c>
      <c r="V45" s="6">
        <v>3</v>
      </c>
      <c r="W45" s="6">
        <v>8</v>
      </c>
      <c r="X45" s="6" t="s">
        <v>502</v>
      </c>
      <c r="Z45" s="6">
        <v>0.95399999999999996</v>
      </c>
      <c r="AA45" s="6" t="s">
        <v>503</v>
      </c>
      <c r="AB45" s="6" t="s">
        <v>503</v>
      </c>
      <c r="AC45" s="6" t="s">
        <v>503</v>
      </c>
    </row>
    <row r="46" spans="1:29">
      <c r="A46" s="6">
        <v>3</v>
      </c>
      <c r="B46" s="6" t="s">
        <v>243</v>
      </c>
      <c r="C46" s="6" t="b">
        <v>0</v>
      </c>
      <c r="D46" s="6" t="s">
        <v>225</v>
      </c>
      <c r="E46" s="6" t="s">
        <v>498</v>
      </c>
      <c r="F46" s="6" t="s">
        <v>499</v>
      </c>
      <c r="G46" s="6" t="s">
        <v>500</v>
      </c>
      <c r="H46" s="6" t="s">
        <v>501</v>
      </c>
      <c r="I46" s="6">
        <v>22.088999999999999</v>
      </c>
      <c r="J46" s="6">
        <v>21.936</v>
      </c>
      <c r="K46" s="6">
        <v>0.13400000000000001</v>
      </c>
      <c r="S46" s="6" t="b">
        <v>1</v>
      </c>
      <c r="T46" s="6">
        <v>0.20699999999999999</v>
      </c>
      <c r="U46" s="6" t="b">
        <v>1</v>
      </c>
      <c r="V46" s="6">
        <v>3</v>
      </c>
      <c r="W46" s="6">
        <v>17</v>
      </c>
      <c r="X46" s="6" t="s">
        <v>502</v>
      </c>
      <c r="Z46" s="6">
        <v>0.95399999999999996</v>
      </c>
      <c r="AA46" s="6" t="s">
        <v>503</v>
      </c>
      <c r="AB46" s="6" t="s">
        <v>503</v>
      </c>
      <c r="AC46" s="6" t="s">
        <v>503</v>
      </c>
    </row>
    <row r="47" spans="1:29">
      <c r="A47" s="6">
        <v>3</v>
      </c>
      <c r="B47" s="6" t="s">
        <v>243</v>
      </c>
      <c r="C47" s="6" t="b">
        <v>0</v>
      </c>
      <c r="D47" s="6" t="s">
        <v>225</v>
      </c>
      <c r="E47" s="6" t="s">
        <v>504</v>
      </c>
      <c r="F47" s="6" t="s">
        <v>499</v>
      </c>
      <c r="G47" s="6" t="s">
        <v>505</v>
      </c>
      <c r="H47" s="6" t="s">
        <v>501</v>
      </c>
      <c r="I47" s="6">
        <v>13.243</v>
      </c>
      <c r="J47" s="6">
        <v>13.128</v>
      </c>
      <c r="K47" s="6">
        <v>0.1</v>
      </c>
      <c r="S47" s="6" t="b">
        <v>1</v>
      </c>
      <c r="T47" s="6">
        <v>0.16400000000000001</v>
      </c>
      <c r="U47" s="6" t="b">
        <v>1</v>
      </c>
      <c r="V47" s="6">
        <v>3</v>
      </c>
      <c r="W47" s="6">
        <v>8</v>
      </c>
      <c r="X47" s="6" t="s">
        <v>502</v>
      </c>
      <c r="Z47" s="6">
        <v>0.95599999999999996</v>
      </c>
      <c r="AA47" s="6" t="s">
        <v>503</v>
      </c>
      <c r="AB47" s="6" t="s">
        <v>503</v>
      </c>
      <c r="AC47" s="6" t="s">
        <v>503</v>
      </c>
    </row>
    <row r="48" spans="1:29">
      <c r="A48" s="6">
        <v>4</v>
      </c>
      <c r="B48" s="6" t="s">
        <v>38</v>
      </c>
      <c r="C48" s="6" t="b">
        <v>0</v>
      </c>
      <c r="D48" s="6" t="s">
        <v>506</v>
      </c>
      <c r="E48" s="6" t="s">
        <v>498</v>
      </c>
      <c r="F48" s="6" t="s">
        <v>499</v>
      </c>
      <c r="G48" s="6" t="s">
        <v>500</v>
      </c>
      <c r="H48" s="6" t="s">
        <v>501</v>
      </c>
      <c r="I48" s="6">
        <v>32.4</v>
      </c>
      <c r="J48" s="6">
        <v>32.741</v>
      </c>
      <c r="K48" s="6">
        <v>0.30199999999999999</v>
      </c>
      <c r="S48" s="6" t="b">
        <v>1</v>
      </c>
      <c r="T48" s="6">
        <v>0.20699999999999999</v>
      </c>
      <c r="U48" s="6" t="b">
        <v>1</v>
      </c>
      <c r="V48" s="6">
        <v>3</v>
      </c>
      <c r="W48" s="6">
        <v>27</v>
      </c>
      <c r="X48" s="6" t="s">
        <v>502</v>
      </c>
      <c r="Z48" s="6">
        <v>0.95</v>
      </c>
      <c r="AA48" s="6" t="s">
        <v>503</v>
      </c>
      <c r="AB48" s="6" t="s">
        <v>503</v>
      </c>
      <c r="AC48" s="6" t="s">
        <v>503</v>
      </c>
    </row>
    <row r="49" spans="1:29">
      <c r="A49" s="6">
        <v>4</v>
      </c>
      <c r="B49" s="6" t="s">
        <v>38</v>
      </c>
      <c r="C49" s="6" t="b">
        <v>0</v>
      </c>
      <c r="D49" s="6" t="s">
        <v>506</v>
      </c>
      <c r="E49" s="6" t="s">
        <v>504</v>
      </c>
      <c r="F49" s="6" t="s">
        <v>499</v>
      </c>
      <c r="G49" s="6" t="s">
        <v>505</v>
      </c>
      <c r="H49" s="6" t="s">
        <v>501</v>
      </c>
      <c r="I49" s="6">
        <v>20.882000000000001</v>
      </c>
      <c r="J49" s="6">
        <v>20.917999999999999</v>
      </c>
      <c r="K49" s="6">
        <v>7.9000000000000001E-2</v>
      </c>
      <c r="S49" s="6" t="b">
        <v>1</v>
      </c>
      <c r="T49" s="6">
        <v>0.16400000000000001</v>
      </c>
      <c r="U49" s="6" t="b">
        <v>1</v>
      </c>
      <c r="V49" s="6">
        <v>3</v>
      </c>
      <c r="W49" s="6">
        <v>16</v>
      </c>
      <c r="X49" s="6" t="s">
        <v>502</v>
      </c>
      <c r="Z49" s="6">
        <v>0.96099999999999997</v>
      </c>
      <c r="AA49" s="6" t="s">
        <v>503</v>
      </c>
      <c r="AB49" s="6" t="s">
        <v>503</v>
      </c>
      <c r="AC49" s="6" t="s">
        <v>503</v>
      </c>
    </row>
    <row r="50" spans="1:29">
      <c r="A50" s="6">
        <v>5</v>
      </c>
      <c r="B50" s="6" t="s">
        <v>39</v>
      </c>
      <c r="C50" s="6" t="b">
        <v>0</v>
      </c>
      <c r="D50" s="6" t="s">
        <v>506</v>
      </c>
      <c r="E50" s="6" t="s">
        <v>498</v>
      </c>
      <c r="F50" s="6" t="s">
        <v>499</v>
      </c>
      <c r="G50" s="6" t="s">
        <v>500</v>
      </c>
      <c r="H50" s="6" t="s">
        <v>501</v>
      </c>
      <c r="I50" s="6">
        <v>32.847000000000001</v>
      </c>
      <c r="J50" s="6">
        <v>32.741</v>
      </c>
      <c r="K50" s="6">
        <v>0.30199999999999999</v>
      </c>
      <c r="S50" s="6" t="b">
        <v>1</v>
      </c>
      <c r="T50" s="6">
        <v>0.20699999999999999</v>
      </c>
      <c r="U50" s="6" t="b">
        <v>1</v>
      </c>
      <c r="V50" s="6">
        <v>3</v>
      </c>
      <c r="W50" s="6">
        <v>28</v>
      </c>
      <c r="X50" s="6" t="s">
        <v>502</v>
      </c>
      <c r="Z50" s="6">
        <v>0.94099999999999995</v>
      </c>
      <c r="AA50" s="6" t="s">
        <v>503</v>
      </c>
      <c r="AB50" s="6" t="s">
        <v>503</v>
      </c>
      <c r="AC50" s="6" t="s">
        <v>503</v>
      </c>
    </row>
    <row r="51" spans="1:29">
      <c r="A51" s="6">
        <v>5</v>
      </c>
      <c r="B51" s="6" t="s">
        <v>39</v>
      </c>
      <c r="C51" s="6" t="b">
        <v>0</v>
      </c>
      <c r="D51" s="6" t="s">
        <v>506</v>
      </c>
      <c r="E51" s="6" t="s">
        <v>504</v>
      </c>
      <c r="F51" s="6" t="s">
        <v>499</v>
      </c>
      <c r="G51" s="6" t="s">
        <v>505</v>
      </c>
      <c r="H51" s="6" t="s">
        <v>501</v>
      </c>
      <c r="I51" s="6">
        <v>21.007999999999999</v>
      </c>
      <c r="J51" s="6">
        <v>20.917999999999999</v>
      </c>
      <c r="K51" s="6">
        <v>7.9000000000000001E-2</v>
      </c>
      <c r="S51" s="6" t="b">
        <v>1</v>
      </c>
      <c r="T51" s="6">
        <v>0.16400000000000001</v>
      </c>
      <c r="U51" s="6" t="b">
        <v>1</v>
      </c>
      <c r="V51" s="6">
        <v>3</v>
      </c>
      <c r="W51" s="6">
        <v>15</v>
      </c>
      <c r="X51" s="6" t="s">
        <v>502</v>
      </c>
      <c r="Z51" s="6">
        <v>0.96499999999999997</v>
      </c>
      <c r="AA51" s="6" t="s">
        <v>503</v>
      </c>
      <c r="AB51" s="6" t="s">
        <v>503</v>
      </c>
      <c r="AC51" s="6" t="s">
        <v>503</v>
      </c>
    </row>
    <row r="52" spans="1:29">
      <c r="A52" s="6">
        <v>6</v>
      </c>
      <c r="B52" s="6" t="s">
        <v>40</v>
      </c>
      <c r="C52" s="6" t="b">
        <v>0</v>
      </c>
      <c r="D52" s="6" t="s">
        <v>506</v>
      </c>
      <c r="E52" s="6" t="s">
        <v>498</v>
      </c>
      <c r="F52" s="6" t="s">
        <v>499</v>
      </c>
      <c r="G52" s="6" t="s">
        <v>500</v>
      </c>
      <c r="H52" s="6" t="s">
        <v>501</v>
      </c>
      <c r="I52" s="6">
        <v>32.975000000000001</v>
      </c>
      <c r="J52" s="6">
        <v>32.741</v>
      </c>
      <c r="K52" s="6">
        <v>0.30199999999999999</v>
      </c>
      <c r="S52" s="6" t="b">
        <v>1</v>
      </c>
      <c r="T52" s="6">
        <v>0.20699999999999999</v>
      </c>
      <c r="U52" s="6" t="b">
        <v>1</v>
      </c>
      <c r="V52" s="6">
        <v>3</v>
      </c>
      <c r="W52" s="6">
        <v>28</v>
      </c>
      <c r="X52" s="6" t="s">
        <v>502</v>
      </c>
      <c r="Z52" s="6">
        <v>0.95</v>
      </c>
      <c r="AA52" s="6" t="s">
        <v>503</v>
      </c>
      <c r="AB52" s="6" t="s">
        <v>503</v>
      </c>
      <c r="AC52" s="6" t="s">
        <v>503</v>
      </c>
    </row>
    <row r="53" spans="1:29">
      <c r="A53" s="6">
        <v>6</v>
      </c>
      <c r="B53" s="6" t="s">
        <v>40</v>
      </c>
      <c r="C53" s="6" t="b">
        <v>0</v>
      </c>
      <c r="D53" s="6" t="s">
        <v>506</v>
      </c>
      <c r="E53" s="6" t="s">
        <v>504</v>
      </c>
      <c r="F53" s="6" t="s">
        <v>499</v>
      </c>
      <c r="G53" s="6" t="s">
        <v>505</v>
      </c>
      <c r="H53" s="6" t="s">
        <v>501</v>
      </c>
      <c r="I53" s="6">
        <v>20.864000000000001</v>
      </c>
      <c r="J53" s="6">
        <v>20.917999999999999</v>
      </c>
      <c r="K53" s="6">
        <v>7.9000000000000001E-2</v>
      </c>
      <c r="S53" s="6" t="b">
        <v>1</v>
      </c>
      <c r="T53" s="6">
        <v>0.16400000000000001</v>
      </c>
      <c r="U53" s="6" t="b">
        <v>1</v>
      </c>
      <c r="V53" s="6">
        <v>3</v>
      </c>
      <c r="W53" s="6">
        <v>16</v>
      </c>
      <c r="X53" s="6" t="s">
        <v>502</v>
      </c>
      <c r="Z53" s="6">
        <v>0.96499999999999997</v>
      </c>
      <c r="AA53" s="6" t="s">
        <v>503</v>
      </c>
      <c r="AB53" s="6" t="s">
        <v>503</v>
      </c>
      <c r="AC53" s="6" t="s">
        <v>503</v>
      </c>
    </row>
    <row r="54" spans="1:29">
      <c r="A54" s="6">
        <v>7</v>
      </c>
      <c r="B54" s="6" t="s">
        <v>41</v>
      </c>
      <c r="C54" s="6" t="b">
        <v>0</v>
      </c>
      <c r="D54" s="6" t="s">
        <v>507</v>
      </c>
      <c r="E54" s="6" t="s">
        <v>498</v>
      </c>
      <c r="F54" s="6" t="s">
        <v>499</v>
      </c>
      <c r="G54" s="6" t="s">
        <v>500</v>
      </c>
      <c r="H54" s="6" t="s">
        <v>501</v>
      </c>
      <c r="I54" s="6">
        <v>26.863</v>
      </c>
      <c r="J54" s="6">
        <v>26.891999999999999</v>
      </c>
      <c r="K54" s="6">
        <v>0.04</v>
      </c>
      <c r="S54" s="6" t="b">
        <v>1</v>
      </c>
      <c r="T54" s="6">
        <v>0.20699999999999999</v>
      </c>
      <c r="U54" s="6" t="b">
        <v>1</v>
      </c>
      <c r="V54" s="6">
        <v>3</v>
      </c>
      <c r="W54" s="6">
        <v>22</v>
      </c>
      <c r="X54" s="6" t="s">
        <v>502</v>
      </c>
      <c r="Z54" s="6">
        <v>0.94199999999999995</v>
      </c>
      <c r="AA54" s="6" t="s">
        <v>503</v>
      </c>
      <c r="AB54" s="6" t="s">
        <v>503</v>
      </c>
      <c r="AC54" s="6" t="s">
        <v>503</v>
      </c>
    </row>
    <row r="55" spans="1:29">
      <c r="A55" s="6">
        <v>7</v>
      </c>
      <c r="B55" s="6" t="s">
        <v>41</v>
      </c>
      <c r="C55" s="6" t="b">
        <v>0</v>
      </c>
      <c r="D55" s="6" t="s">
        <v>507</v>
      </c>
      <c r="E55" s="6" t="s">
        <v>504</v>
      </c>
      <c r="F55" s="6" t="s">
        <v>499</v>
      </c>
      <c r="G55" s="6" t="s">
        <v>505</v>
      </c>
      <c r="H55" s="6" t="s">
        <v>501</v>
      </c>
      <c r="I55" s="6">
        <v>26.018999999999998</v>
      </c>
      <c r="J55" s="6">
        <v>26.071000000000002</v>
      </c>
      <c r="K55" s="6">
        <v>5.0999999999999997E-2</v>
      </c>
      <c r="S55" s="6" t="b">
        <v>1</v>
      </c>
      <c r="T55" s="6">
        <v>0.16400000000000001</v>
      </c>
      <c r="U55" s="6" t="b">
        <v>1</v>
      </c>
      <c r="V55" s="6">
        <v>3</v>
      </c>
      <c r="W55" s="6">
        <v>21</v>
      </c>
      <c r="X55" s="6" t="s">
        <v>502</v>
      </c>
      <c r="Z55" s="6">
        <v>0.95199999999999996</v>
      </c>
      <c r="AA55" s="6" t="s">
        <v>503</v>
      </c>
      <c r="AB55" s="6" t="s">
        <v>503</v>
      </c>
      <c r="AC55" s="6" t="s">
        <v>503</v>
      </c>
    </row>
    <row r="56" spans="1:29">
      <c r="A56" s="6">
        <v>8</v>
      </c>
      <c r="B56" s="6" t="s">
        <v>42</v>
      </c>
      <c r="C56" s="6" t="b">
        <v>0</v>
      </c>
      <c r="D56" s="6" t="s">
        <v>507</v>
      </c>
      <c r="E56" s="6" t="s">
        <v>498</v>
      </c>
      <c r="F56" s="6" t="s">
        <v>499</v>
      </c>
      <c r="G56" s="6" t="s">
        <v>500</v>
      </c>
      <c r="H56" s="6" t="s">
        <v>501</v>
      </c>
      <c r="I56" s="6">
        <v>26.876000000000001</v>
      </c>
      <c r="J56" s="6">
        <v>26.891999999999999</v>
      </c>
      <c r="K56" s="6">
        <v>0.04</v>
      </c>
      <c r="S56" s="6" t="b">
        <v>1</v>
      </c>
      <c r="T56" s="6">
        <v>0.20699999999999999</v>
      </c>
      <c r="U56" s="6" t="b">
        <v>1</v>
      </c>
      <c r="V56" s="6">
        <v>3</v>
      </c>
      <c r="W56" s="6">
        <v>22</v>
      </c>
      <c r="X56" s="6" t="s">
        <v>502</v>
      </c>
      <c r="Z56" s="6">
        <v>0.94499999999999995</v>
      </c>
      <c r="AA56" s="6" t="s">
        <v>503</v>
      </c>
      <c r="AB56" s="6" t="s">
        <v>503</v>
      </c>
      <c r="AC56" s="6" t="s">
        <v>503</v>
      </c>
    </row>
    <row r="57" spans="1:29">
      <c r="A57" s="6">
        <v>8</v>
      </c>
      <c r="B57" s="6" t="s">
        <v>42</v>
      </c>
      <c r="C57" s="6" t="b">
        <v>0</v>
      </c>
      <c r="D57" s="6" t="s">
        <v>507</v>
      </c>
      <c r="E57" s="6" t="s">
        <v>504</v>
      </c>
      <c r="F57" s="6" t="s">
        <v>499</v>
      </c>
      <c r="G57" s="6" t="s">
        <v>505</v>
      </c>
      <c r="H57" s="6" t="s">
        <v>501</v>
      </c>
      <c r="I57" s="6">
        <v>26.074000000000002</v>
      </c>
      <c r="J57" s="6">
        <v>26.071000000000002</v>
      </c>
      <c r="K57" s="6">
        <v>5.0999999999999997E-2</v>
      </c>
      <c r="S57" s="6" t="b">
        <v>1</v>
      </c>
      <c r="T57" s="6">
        <v>0.16400000000000001</v>
      </c>
      <c r="U57" s="6" t="b">
        <v>1</v>
      </c>
      <c r="V57" s="6">
        <v>3</v>
      </c>
      <c r="W57" s="6">
        <v>21</v>
      </c>
      <c r="X57" s="6" t="s">
        <v>502</v>
      </c>
      <c r="Z57" s="6">
        <v>0.95199999999999996</v>
      </c>
      <c r="AA57" s="6" t="s">
        <v>503</v>
      </c>
      <c r="AB57" s="6" t="s">
        <v>503</v>
      </c>
      <c r="AC57" s="6" t="s">
        <v>503</v>
      </c>
    </row>
    <row r="58" spans="1:29">
      <c r="A58" s="6">
        <v>9</v>
      </c>
      <c r="B58" s="6" t="s">
        <v>43</v>
      </c>
      <c r="C58" s="6" t="b">
        <v>0</v>
      </c>
      <c r="D58" s="6" t="s">
        <v>507</v>
      </c>
      <c r="E58" s="6" t="s">
        <v>498</v>
      </c>
      <c r="F58" s="6" t="s">
        <v>499</v>
      </c>
      <c r="G58" s="6" t="s">
        <v>500</v>
      </c>
      <c r="H58" s="6" t="s">
        <v>501</v>
      </c>
      <c r="I58" s="6">
        <v>26.937999999999999</v>
      </c>
      <c r="J58" s="6">
        <v>26.891999999999999</v>
      </c>
      <c r="K58" s="6">
        <v>0.04</v>
      </c>
      <c r="S58" s="6" t="b">
        <v>1</v>
      </c>
      <c r="T58" s="6">
        <v>0.20699999999999999</v>
      </c>
      <c r="U58" s="6" t="b">
        <v>1</v>
      </c>
      <c r="V58" s="6">
        <v>3</v>
      </c>
      <c r="W58" s="6">
        <v>22</v>
      </c>
      <c r="X58" s="6" t="s">
        <v>502</v>
      </c>
      <c r="Z58" s="6">
        <v>0.94099999999999995</v>
      </c>
      <c r="AA58" s="6" t="s">
        <v>503</v>
      </c>
      <c r="AB58" s="6" t="s">
        <v>503</v>
      </c>
      <c r="AC58" s="6" t="s">
        <v>503</v>
      </c>
    </row>
    <row r="59" spans="1:29">
      <c r="A59" s="6">
        <v>9</v>
      </c>
      <c r="B59" s="6" t="s">
        <v>43</v>
      </c>
      <c r="C59" s="6" t="b">
        <v>0</v>
      </c>
      <c r="D59" s="6" t="s">
        <v>507</v>
      </c>
      <c r="E59" s="6" t="s">
        <v>504</v>
      </c>
      <c r="F59" s="6" t="s">
        <v>499</v>
      </c>
      <c r="G59" s="6" t="s">
        <v>505</v>
      </c>
      <c r="H59" s="6" t="s">
        <v>501</v>
      </c>
      <c r="I59" s="6">
        <v>26.120999999999999</v>
      </c>
      <c r="J59" s="6">
        <v>26.071000000000002</v>
      </c>
      <c r="K59" s="6">
        <v>5.0999999999999997E-2</v>
      </c>
      <c r="S59" s="6" t="b">
        <v>1</v>
      </c>
      <c r="T59" s="6">
        <v>0.16400000000000001</v>
      </c>
      <c r="U59" s="6" t="b">
        <v>1</v>
      </c>
      <c r="V59" s="6">
        <v>3</v>
      </c>
      <c r="W59" s="6">
        <v>21</v>
      </c>
      <c r="X59" s="6" t="s">
        <v>502</v>
      </c>
      <c r="Z59" s="6">
        <v>0.95099999999999996</v>
      </c>
      <c r="AA59" s="6" t="s">
        <v>503</v>
      </c>
      <c r="AB59" s="6" t="s">
        <v>503</v>
      </c>
      <c r="AC59" s="6" t="s">
        <v>503</v>
      </c>
    </row>
    <row r="60" spans="1:29">
      <c r="A60" s="6">
        <v>10</v>
      </c>
      <c r="B60" s="6" t="s">
        <v>44</v>
      </c>
      <c r="C60" s="6" t="b">
        <v>0</v>
      </c>
      <c r="D60" s="6" t="s">
        <v>508</v>
      </c>
      <c r="E60" s="6" t="s">
        <v>498</v>
      </c>
      <c r="F60" s="6" t="s">
        <v>499</v>
      </c>
      <c r="G60" s="6" t="s">
        <v>500</v>
      </c>
      <c r="H60" s="6" t="s">
        <v>501</v>
      </c>
      <c r="I60" s="6">
        <v>31.992999999999999</v>
      </c>
      <c r="J60" s="6">
        <v>32.192999999999998</v>
      </c>
      <c r="K60" s="6">
        <v>0.17699999999999999</v>
      </c>
      <c r="S60" s="6" t="b">
        <v>1</v>
      </c>
      <c r="T60" s="6">
        <v>0.20699999999999999</v>
      </c>
      <c r="U60" s="6" t="b">
        <v>1</v>
      </c>
      <c r="V60" s="6">
        <v>3</v>
      </c>
      <c r="W60" s="6">
        <v>27</v>
      </c>
      <c r="X60" s="6" t="s">
        <v>502</v>
      </c>
      <c r="Z60" s="6">
        <v>0.94499999999999995</v>
      </c>
      <c r="AA60" s="6" t="s">
        <v>503</v>
      </c>
      <c r="AB60" s="6" t="s">
        <v>503</v>
      </c>
      <c r="AC60" s="6" t="s">
        <v>503</v>
      </c>
    </row>
    <row r="61" spans="1:29">
      <c r="A61" s="6">
        <v>10</v>
      </c>
      <c r="B61" s="6" t="s">
        <v>44</v>
      </c>
      <c r="C61" s="6" t="b">
        <v>0</v>
      </c>
      <c r="D61" s="6" t="s">
        <v>508</v>
      </c>
      <c r="E61" s="6" t="s">
        <v>504</v>
      </c>
      <c r="F61" s="6" t="s">
        <v>499</v>
      </c>
      <c r="G61" s="6" t="s">
        <v>505</v>
      </c>
      <c r="H61" s="6" t="s">
        <v>501</v>
      </c>
      <c r="I61" s="6">
        <v>20.302</v>
      </c>
      <c r="J61" s="6">
        <v>20.555</v>
      </c>
      <c r="K61" s="6">
        <v>0.219</v>
      </c>
      <c r="S61" s="6" t="b">
        <v>1</v>
      </c>
      <c r="T61" s="6">
        <v>0.16400000000000001</v>
      </c>
      <c r="U61" s="6" t="b">
        <v>1</v>
      </c>
      <c r="V61" s="6">
        <v>3</v>
      </c>
      <c r="W61" s="6">
        <v>15</v>
      </c>
      <c r="X61" s="6" t="s">
        <v>502</v>
      </c>
      <c r="Z61" s="6">
        <v>0.95899999999999996</v>
      </c>
      <c r="AA61" s="6" t="s">
        <v>503</v>
      </c>
      <c r="AB61" s="6" t="s">
        <v>503</v>
      </c>
      <c r="AC61" s="6" t="s">
        <v>503</v>
      </c>
    </row>
    <row r="62" spans="1:29">
      <c r="A62" s="6">
        <v>11</v>
      </c>
      <c r="B62" s="6" t="s">
        <v>45</v>
      </c>
      <c r="C62" s="6" t="b">
        <v>0</v>
      </c>
      <c r="D62" s="6" t="s">
        <v>508</v>
      </c>
      <c r="E62" s="6" t="s">
        <v>498</v>
      </c>
      <c r="F62" s="6" t="s">
        <v>499</v>
      </c>
      <c r="G62" s="6" t="s">
        <v>500</v>
      </c>
      <c r="H62" s="6" t="s">
        <v>501</v>
      </c>
      <c r="I62" s="6">
        <v>32.256999999999998</v>
      </c>
      <c r="J62" s="6">
        <v>32.192999999999998</v>
      </c>
      <c r="K62" s="6">
        <v>0.17699999999999999</v>
      </c>
      <c r="S62" s="6" t="b">
        <v>1</v>
      </c>
      <c r="T62" s="6">
        <v>0.20699999999999999</v>
      </c>
      <c r="U62" s="6" t="b">
        <v>1</v>
      </c>
      <c r="V62" s="6">
        <v>3</v>
      </c>
      <c r="W62" s="6">
        <v>27</v>
      </c>
      <c r="X62" s="6" t="s">
        <v>502</v>
      </c>
      <c r="Z62" s="6">
        <v>0.95299999999999996</v>
      </c>
      <c r="AA62" s="6" t="s">
        <v>503</v>
      </c>
      <c r="AB62" s="6" t="s">
        <v>503</v>
      </c>
      <c r="AC62" s="6" t="s">
        <v>503</v>
      </c>
    </row>
    <row r="63" spans="1:29">
      <c r="A63" s="6">
        <v>11</v>
      </c>
      <c r="B63" s="6" t="s">
        <v>45</v>
      </c>
      <c r="C63" s="6" t="b">
        <v>0</v>
      </c>
      <c r="D63" s="6" t="s">
        <v>508</v>
      </c>
      <c r="E63" s="6" t="s">
        <v>504</v>
      </c>
      <c r="F63" s="6" t="s">
        <v>499</v>
      </c>
      <c r="G63" s="6" t="s">
        <v>505</v>
      </c>
      <c r="H63" s="6" t="s">
        <v>501</v>
      </c>
      <c r="I63" s="6">
        <v>20.689</v>
      </c>
      <c r="J63" s="6">
        <v>20.555</v>
      </c>
      <c r="K63" s="6">
        <v>0.219</v>
      </c>
      <c r="S63" s="6" t="b">
        <v>1</v>
      </c>
      <c r="T63" s="6">
        <v>0.16400000000000001</v>
      </c>
      <c r="U63" s="6" t="b">
        <v>1</v>
      </c>
      <c r="V63" s="6">
        <v>3</v>
      </c>
      <c r="W63" s="6">
        <v>16</v>
      </c>
      <c r="X63" s="6" t="s">
        <v>502</v>
      </c>
      <c r="Z63" s="6">
        <v>0.96699999999999997</v>
      </c>
      <c r="AA63" s="6" t="s">
        <v>503</v>
      </c>
      <c r="AB63" s="6" t="s">
        <v>503</v>
      </c>
      <c r="AC63" s="6" t="s">
        <v>503</v>
      </c>
    </row>
    <row r="64" spans="1:29">
      <c r="A64" s="6">
        <v>12</v>
      </c>
      <c r="B64" s="6" t="s">
        <v>46</v>
      </c>
      <c r="C64" s="6" t="b">
        <v>0</v>
      </c>
      <c r="D64" s="6" t="s">
        <v>508</v>
      </c>
      <c r="E64" s="6" t="s">
        <v>498</v>
      </c>
      <c r="F64" s="6" t="s">
        <v>499</v>
      </c>
      <c r="G64" s="6" t="s">
        <v>500</v>
      </c>
      <c r="H64" s="6" t="s">
        <v>501</v>
      </c>
      <c r="I64" s="6">
        <v>32.329000000000001</v>
      </c>
      <c r="J64" s="6">
        <v>32.192999999999998</v>
      </c>
      <c r="K64" s="6">
        <v>0.17699999999999999</v>
      </c>
      <c r="S64" s="6" t="b">
        <v>1</v>
      </c>
      <c r="T64" s="6">
        <v>0.20699999999999999</v>
      </c>
      <c r="U64" s="6" t="b">
        <v>1</v>
      </c>
      <c r="V64" s="6">
        <v>3</v>
      </c>
      <c r="W64" s="6">
        <v>27</v>
      </c>
      <c r="X64" s="6" t="s">
        <v>502</v>
      </c>
      <c r="Z64" s="6">
        <v>0.94699999999999995</v>
      </c>
      <c r="AA64" s="6" t="s">
        <v>503</v>
      </c>
      <c r="AB64" s="6" t="s">
        <v>503</v>
      </c>
      <c r="AC64" s="6" t="s">
        <v>503</v>
      </c>
    </row>
    <row r="65" spans="1:29">
      <c r="A65" s="6">
        <v>12</v>
      </c>
      <c r="B65" s="6" t="s">
        <v>46</v>
      </c>
      <c r="C65" s="6" t="b">
        <v>0</v>
      </c>
      <c r="D65" s="6" t="s">
        <v>508</v>
      </c>
      <c r="E65" s="6" t="s">
        <v>504</v>
      </c>
      <c r="F65" s="6" t="s">
        <v>499</v>
      </c>
      <c r="G65" s="6" t="s">
        <v>505</v>
      </c>
      <c r="H65" s="6" t="s">
        <v>501</v>
      </c>
      <c r="I65" s="6">
        <v>20.672999999999998</v>
      </c>
      <c r="J65" s="6">
        <v>20.555</v>
      </c>
      <c r="K65" s="6">
        <v>0.219</v>
      </c>
      <c r="S65" s="6" t="b">
        <v>1</v>
      </c>
      <c r="T65" s="6">
        <v>0.16400000000000001</v>
      </c>
      <c r="U65" s="6" t="b">
        <v>1</v>
      </c>
      <c r="V65" s="6">
        <v>3</v>
      </c>
      <c r="W65" s="6">
        <v>15</v>
      </c>
      <c r="X65" s="6" t="s">
        <v>502</v>
      </c>
      <c r="Z65" s="6">
        <v>0.96399999999999997</v>
      </c>
      <c r="AA65" s="6" t="s">
        <v>503</v>
      </c>
      <c r="AB65" s="6" t="s">
        <v>503</v>
      </c>
      <c r="AC65" s="6" t="s">
        <v>503</v>
      </c>
    </row>
    <row r="66" spans="1:29">
      <c r="A66" s="6">
        <v>13</v>
      </c>
      <c r="B66" s="6" t="s">
        <v>244</v>
      </c>
      <c r="C66" s="6" t="b">
        <v>0</v>
      </c>
      <c r="D66" s="6" t="s">
        <v>226</v>
      </c>
      <c r="E66" s="6" t="s">
        <v>498</v>
      </c>
      <c r="F66" s="6" t="s">
        <v>499</v>
      </c>
      <c r="G66" s="6" t="s">
        <v>500</v>
      </c>
      <c r="H66" s="6" t="s">
        <v>501</v>
      </c>
      <c r="I66" s="6">
        <v>24.036000000000001</v>
      </c>
      <c r="J66" s="6">
        <v>24.007000000000001</v>
      </c>
      <c r="K66" s="6">
        <v>3.1E-2</v>
      </c>
      <c r="S66" s="6" t="b">
        <v>1</v>
      </c>
      <c r="T66" s="6">
        <v>0.20699999999999999</v>
      </c>
      <c r="U66" s="6" t="b">
        <v>1</v>
      </c>
      <c r="V66" s="6">
        <v>3</v>
      </c>
      <c r="W66" s="6">
        <v>19</v>
      </c>
      <c r="X66" s="6" t="s">
        <v>502</v>
      </c>
      <c r="Z66" s="6">
        <v>0.95899999999999996</v>
      </c>
      <c r="AA66" s="6" t="s">
        <v>503</v>
      </c>
      <c r="AB66" s="6" t="s">
        <v>503</v>
      </c>
      <c r="AC66" s="6" t="s">
        <v>503</v>
      </c>
    </row>
    <row r="67" spans="1:29">
      <c r="A67" s="6">
        <v>13</v>
      </c>
      <c r="B67" s="6" t="s">
        <v>244</v>
      </c>
      <c r="C67" s="6" t="b">
        <v>0</v>
      </c>
      <c r="D67" s="6" t="s">
        <v>226</v>
      </c>
      <c r="E67" s="6" t="s">
        <v>504</v>
      </c>
      <c r="F67" s="6" t="s">
        <v>499</v>
      </c>
      <c r="G67" s="6" t="s">
        <v>505</v>
      </c>
      <c r="H67" s="6" t="s">
        <v>501</v>
      </c>
      <c r="I67" s="6">
        <v>16.265000000000001</v>
      </c>
      <c r="J67" s="6">
        <v>16.202000000000002</v>
      </c>
      <c r="K67" s="6">
        <v>6.3E-2</v>
      </c>
      <c r="S67" s="6" t="b">
        <v>1</v>
      </c>
      <c r="T67" s="6">
        <v>0.16400000000000001</v>
      </c>
      <c r="U67" s="6" t="b">
        <v>1</v>
      </c>
      <c r="V67" s="6">
        <v>3</v>
      </c>
      <c r="W67" s="6">
        <v>11</v>
      </c>
      <c r="X67" s="6" t="s">
        <v>502</v>
      </c>
      <c r="Z67" s="6">
        <v>0.96199999999999997</v>
      </c>
      <c r="AA67" s="6" t="s">
        <v>503</v>
      </c>
      <c r="AB67" s="6" t="s">
        <v>503</v>
      </c>
      <c r="AC67" s="6" t="s">
        <v>503</v>
      </c>
    </row>
    <row r="68" spans="1:29">
      <c r="A68" s="6">
        <v>14</v>
      </c>
      <c r="B68" s="6" t="s">
        <v>245</v>
      </c>
      <c r="C68" s="6" t="b">
        <v>0</v>
      </c>
      <c r="D68" s="6" t="s">
        <v>226</v>
      </c>
      <c r="E68" s="6" t="s">
        <v>498</v>
      </c>
      <c r="F68" s="6" t="s">
        <v>499</v>
      </c>
      <c r="G68" s="6" t="s">
        <v>500</v>
      </c>
      <c r="H68" s="6" t="s">
        <v>501</v>
      </c>
      <c r="I68" s="6">
        <v>24.010999999999999</v>
      </c>
      <c r="J68" s="6">
        <v>24.007000000000001</v>
      </c>
      <c r="K68" s="6">
        <v>3.1E-2</v>
      </c>
      <c r="S68" s="6" t="b">
        <v>1</v>
      </c>
      <c r="T68" s="6">
        <v>0.20699999999999999</v>
      </c>
      <c r="U68" s="6" t="b">
        <v>1</v>
      </c>
      <c r="V68" s="6">
        <v>3</v>
      </c>
      <c r="W68" s="6">
        <v>19</v>
      </c>
      <c r="X68" s="6" t="s">
        <v>502</v>
      </c>
      <c r="Z68" s="6">
        <v>0.94899999999999995</v>
      </c>
      <c r="AA68" s="6" t="s">
        <v>503</v>
      </c>
      <c r="AB68" s="6" t="s">
        <v>503</v>
      </c>
      <c r="AC68" s="6" t="s">
        <v>503</v>
      </c>
    </row>
    <row r="69" spans="1:29">
      <c r="A69" s="6">
        <v>14</v>
      </c>
      <c r="B69" s="6" t="s">
        <v>245</v>
      </c>
      <c r="C69" s="6" t="b">
        <v>0</v>
      </c>
      <c r="D69" s="6" t="s">
        <v>226</v>
      </c>
      <c r="E69" s="6" t="s">
        <v>504</v>
      </c>
      <c r="F69" s="6" t="s">
        <v>499</v>
      </c>
      <c r="G69" s="6" t="s">
        <v>505</v>
      </c>
      <c r="H69" s="6" t="s">
        <v>501</v>
      </c>
      <c r="I69" s="6">
        <v>16.202000000000002</v>
      </c>
      <c r="J69" s="6">
        <v>16.202000000000002</v>
      </c>
      <c r="K69" s="6">
        <v>6.3E-2</v>
      </c>
      <c r="S69" s="6" t="b">
        <v>1</v>
      </c>
      <c r="T69" s="6">
        <v>0.16400000000000001</v>
      </c>
      <c r="U69" s="6" t="b">
        <v>1</v>
      </c>
      <c r="V69" s="6">
        <v>3</v>
      </c>
      <c r="W69" s="6">
        <v>11</v>
      </c>
      <c r="X69" s="6" t="s">
        <v>502</v>
      </c>
      <c r="Z69" s="6">
        <v>0.96</v>
      </c>
      <c r="AA69" s="6" t="s">
        <v>503</v>
      </c>
      <c r="AB69" s="6" t="s">
        <v>503</v>
      </c>
      <c r="AC69" s="6" t="s">
        <v>503</v>
      </c>
    </row>
    <row r="70" spans="1:29">
      <c r="A70" s="6">
        <v>15</v>
      </c>
      <c r="B70" s="6" t="s">
        <v>246</v>
      </c>
      <c r="C70" s="6" t="b">
        <v>0</v>
      </c>
      <c r="D70" s="6" t="s">
        <v>226</v>
      </c>
      <c r="E70" s="6" t="s">
        <v>498</v>
      </c>
      <c r="F70" s="6" t="s">
        <v>499</v>
      </c>
      <c r="G70" s="6" t="s">
        <v>500</v>
      </c>
      <c r="H70" s="6" t="s">
        <v>501</v>
      </c>
      <c r="I70" s="6">
        <v>23.974</v>
      </c>
      <c r="J70" s="6">
        <v>24.007000000000001</v>
      </c>
      <c r="K70" s="6">
        <v>3.1E-2</v>
      </c>
      <c r="S70" s="6" t="b">
        <v>1</v>
      </c>
      <c r="T70" s="6">
        <v>0.20699999999999999</v>
      </c>
      <c r="U70" s="6" t="b">
        <v>1</v>
      </c>
      <c r="V70" s="6">
        <v>3</v>
      </c>
      <c r="W70" s="6">
        <v>19</v>
      </c>
      <c r="X70" s="6" t="s">
        <v>502</v>
      </c>
      <c r="Z70" s="6">
        <v>0.94399999999999995</v>
      </c>
      <c r="AA70" s="6" t="s">
        <v>503</v>
      </c>
      <c r="AB70" s="6" t="s">
        <v>503</v>
      </c>
      <c r="AC70" s="6" t="s">
        <v>503</v>
      </c>
    </row>
    <row r="71" spans="1:29">
      <c r="A71" s="6">
        <v>15</v>
      </c>
      <c r="B71" s="6" t="s">
        <v>246</v>
      </c>
      <c r="C71" s="6" t="b">
        <v>0</v>
      </c>
      <c r="D71" s="6" t="s">
        <v>226</v>
      </c>
      <c r="E71" s="6" t="s">
        <v>504</v>
      </c>
      <c r="F71" s="6" t="s">
        <v>499</v>
      </c>
      <c r="G71" s="6" t="s">
        <v>505</v>
      </c>
      <c r="H71" s="6" t="s">
        <v>501</v>
      </c>
      <c r="I71" s="6">
        <v>16.138999999999999</v>
      </c>
      <c r="J71" s="6">
        <v>16.202000000000002</v>
      </c>
      <c r="K71" s="6">
        <v>6.3E-2</v>
      </c>
      <c r="S71" s="6" t="b">
        <v>1</v>
      </c>
      <c r="T71" s="6">
        <v>0.16400000000000001</v>
      </c>
      <c r="U71" s="6" t="b">
        <v>1</v>
      </c>
      <c r="V71" s="6">
        <v>3</v>
      </c>
      <c r="W71" s="6">
        <v>11</v>
      </c>
      <c r="X71" s="6" t="s">
        <v>502</v>
      </c>
      <c r="Z71" s="6">
        <v>0.96099999999999997</v>
      </c>
      <c r="AA71" s="6" t="s">
        <v>503</v>
      </c>
      <c r="AB71" s="6" t="s">
        <v>503</v>
      </c>
      <c r="AC71" s="6" t="s">
        <v>503</v>
      </c>
    </row>
    <row r="72" spans="1:29">
      <c r="A72" s="6">
        <v>16</v>
      </c>
      <c r="B72" s="6" t="s">
        <v>47</v>
      </c>
      <c r="C72" s="6" t="b">
        <v>0</v>
      </c>
      <c r="D72" s="6" t="s">
        <v>509</v>
      </c>
      <c r="E72" s="6" t="s">
        <v>498</v>
      </c>
      <c r="F72" s="6" t="s">
        <v>499</v>
      </c>
      <c r="G72" s="6" t="s">
        <v>500</v>
      </c>
      <c r="H72" s="6" t="s">
        <v>501</v>
      </c>
      <c r="I72" s="6">
        <v>31.687000000000001</v>
      </c>
      <c r="J72" s="6">
        <v>31.814</v>
      </c>
      <c r="K72" s="6">
        <v>0.112</v>
      </c>
      <c r="S72" s="6" t="b">
        <v>1</v>
      </c>
      <c r="T72" s="6">
        <v>0.20699999999999999</v>
      </c>
      <c r="U72" s="6" t="b">
        <v>1</v>
      </c>
      <c r="V72" s="6">
        <v>3</v>
      </c>
      <c r="W72" s="6">
        <v>26</v>
      </c>
      <c r="X72" s="6" t="s">
        <v>502</v>
      </c>
      <c r="Z72" s="6">
        <v>0.95699999999999996</v>
      </c>
      <c r="AA72" s="6" t="s">
        <v>503</v>
      </c>
      <c r="AB72" s="6" t="s">
        <v>503</v>
      </c>
      <c r="AC72" s="6" t="s">
        <v>503</v>
      </c>
    </row>
    <row r="73" spans="1:29">
      <c r="A73" s="6">
        <v>16</v>
      </c>
      <c r="B73" s="6" t="s">
        <v>47</v>
      </c>
      <c r="C73" s="6" t="b">
        <v>0</v>
      </c>
      <c r="D73" s="6" t="s">
        <v>509</v>
      </c>
      <c r="E73" s="6" t="s">
        <v>504</v>
      </c>
      <c r="F73" s="6" t="s">
        <v>499</v>
      </c>
      <c r="G73" s="6" t="s">
        <v>505</v>
      </c>
      <c r="H73" s="6" t="s">
        <v>501</v>
      </c>
      <c r="I73" s="6">
        <v>18.856999999999999</v>
      </c>
      <c r="J73" s="6">
        <v>18.948</v>
      </c>
      <c r="K73" s="6">
        <v>0.14699999999999999</v>
      </c>
      <c r="S73" s="6" t="b">
        <v>1</v>
      </c>
      <c r="T73" s="6">
        <v>0.16400000000000001</v>
      </c>
      <c r="U73" s="6" t="b">
        <v>1</v>
      </c>
      <c r="V73" s="6">
        <v>3</v>
      </c>
      <c r="W73" s="6">
        <v>14</v>
      </c>
      <c r="X73" s="6" t="s">
        <v>502</v>
      </c>
      <c r="Z73" s="6">
        <v>0.96399999999999997</v>
      </c>
      <c r="AA73" s="6" t="s">
        <v>503</v>
      </c>
      <c r="AB73" s="6" t="s">
        <v>503</v>
      </c>
      <c r="AC73" s="6" t="s">
        <v>503</v>
      </c>
    </row>
    <row r="74" spans="1:29">
      <c r="A74" s="6">
        <v>17</v>
      </c>
      <c r="B74" s="6" t="s">
        <v>48</v>
      </c>
      <c r="C74" s="6" t="b">
        <v>0</v>
      </c>
      <c r="D74" s="6" t="s">
        <v>509</v>
      </c>
      <c r="E74" s="6" t="s">
        <v>498</v>
      </c>
      <c r="F74" s="6" t="s">
        <v>499</v>
      </c>
      <c r="G74" s="6" t="s">
        <v>500</v>
      </c>
      <c r="H74" s="6" t="s">
        <v>501</v>
      </c>
      <c r="I74" s="6">
        <v>31.850999999999999</v>
      </c>
      <c r="J74" s="6">
        <v>31.814</v>
      </c>
      <c r="K74" s="6">
        <v>0.112</v>
      </c>
      <c r="S74" s="6" t="b">
        <v>1</v>
      </c>
      <c r="T74" s="6">
        <v>0.20699999999999999</v>
      </c>
      <c r="U74" s="6" t="b">
        <v>1</v>
      </c>
      <c r="V74" s="6">
        <v>3</v>
      </c>
      <c r="W74" s="6">
        <v>27</v>
      </c>
      <c r="X74" s="6" t="s">
        <v>502</v>
      </c>
      <c r="Z74" s="6">
        <v>0.95099999999999996</v>
      </c>
      <c r="AA74" s="6" t="s">
        <v>503</v>
      </c>
      <c r="AB74" s="6" t="s">
        <v>503</v>
      </c>
      <c r="AC74" s="6" t="s">
        <v>503</v>
      </c>
    </row>
    <row r="75" spans="1:29">
      <c r="A75" s="6">
        <v>17</v>
      </c>
      <c r="B75" s="6" t="s">
        <v>48</v>
      </c>
      <c r="C75" s="6" t="b">
        <v>0</v>
      </c>
      <c r="D75" s="6" t="s">
        <v>509</v>
      </c>
      <c r="E75" s="6" t="s">
        <v>504</v>
      </c>
      <c r="F75" s="6" t="s">
        <v>499</v>
      </c>
      <c r="G75" s="6" t="s">
        <v>505</v>
      </c>
      <c r="H75" s="6" t="s">
        <v>501</v>
      </c>
      <c r="I75" s="6">
        <v>19.117999999999999</v>
      </c>
      <c r="J75" s="6">
        <v>18.948</v>
      </c>
      <c r="K75" s="6">
        <v>0.14699999999999999</v>
      </c>
      <c r="S75" s="6" t="b">
        <v>1</v>
      </c>
      <c r="T75" s="6">
        <v>0.16400000000000001</v>
      </c>
      <c r="U75" s="6" t="b">
        <v>1</v>
      </c>
      <c r="V75" s="6">
        <v>3</v>
      </c>
      <c r="W75" s="6">
        <v>14</v>
      </c>
      <c r="X75" s="6" t="s">
        <v>502</v>
      </c>
      <c r="Z75" s="6">
        <v>0.95899999999999996</v>
      </c>
      <c r="AA75" s="6" t="s">
        <v>503</v>
      </c>
      <c r="AB75" s="6" t="s">
        <v>503</v>
      </c>
      <c r="AC75" s="6" t="s">
        <v>503</v>
      </c>
    </row>
    <row r="76" spans="1:29">
      <c r="A76" s="6">
        <v>18</v>
      </c>
      <c r="B76" s="6" t="s">
        <v>49</v>
      </c>
      <c r="C76" s="6" t="b">
        <v>0</v>
      </c>
      <c r="D76" s="6" t="s">
        <v>509</v>
      </c>
      <c r="E76" s="6" t="s">
        <v>498</v>
      </c>
      <c r="F76" s="6" t="s">
        <v>499</v>
      </c>
      <c r="G76" s="6" t="s">
        <v>500</v>
      </c>
      <c r="H76" s="6" t="s">
        <v>501</v>
      </c>
      <c r="I76" s="6">
        <v>31.902999999999999</v>
      </c>
      <c r="J76" s="6">
        <v>31.814</v>
      </c>
      <c r="K76" s="6">
        <v>0.112</v>
      </c>
      <c r="S76" s="6" t="b">
        <v>1</v>
      </c>
      <c r="T76" s="6">
        <v>0.20699999999999999</v>
      </c>
      <c r="U76" s="6" t="b">
        <v>1</v>
      </c>
      <c r="V76" s="6">
        <v>3</v>
      </c>
      <c r="W76" s="6">
        <v>27</v>
      </c>
      <c r="X76" s="6" t="s">
        <v>502</v>
      </c>
      <c r="Z76" s="6">
        <v>0.95599999999999996</v>
      </c>
      <c r="AA76" s="6" t="s">
        <v>503</v>
      </c>
      <c r="AB76" s="6" t="s">
        <v>503</v>
      </c>
      <c r="AC76" s="6" t="s">
        <v>503</v>
      </c>
    </row>
    <row r="77" spans="1:29">
      <c r="A77" s="6">
        <v>18</v>
      </c>
      <c r="B77" s="6" t="s">
        <v>49</v>
      </c>
      <c r="C77" s="6" t="b">
        <v>0</v>
      </c>
      <c r="D77" s="6" t="s">
        <v>509</v>
      </c>
      <c r="E77" s="6" t="s">
        <v>504</v>
      </c>
      <c r="F77" s="6" t="s">
        <v>499</v>
      </c>
      <c r="G77" s="6" t="s">
        <v>505</v>
      </c>
      <c r="H77" s="6" t="s">
        <v>501</v>
      </c>
      <c r="I77" s="6">
        <v>18.87</v>
      </c>
      <c r="J77" s="6">
        <v>18.948</v>
      </c>
      <c r="K77" s="6">
        <v>0.14699999999999999</v>
      </c>
      <c r="S77" s="6" t="b">
        <v>1</v>
      </c>
      <c r="T77" s="6">
        <v>0.16400000000000001</v>
      </c>
      <c r="U77" s="6" t="b">
        <v>1</v>
      </c>
      <c r="V77" s="6">
        <v>3</v>
      </c>
      <c r="W77" s="6">
        <v>13</v>
      </c>
      <c r="X77" s="6" t="s">
        <v>502</v>
      </c>
      <c r="Z77" s="6">
        <v>0.96299999999999997</v>
      </c>
      <c r="AA77" s="6" t="s">
        <v>503</v>
      </c>
      <c r="AB77" s="6" t="s">
        <v>503</v>
      </c>
      <c r="AC77" s="6" t="s">
        <v>503</v>
      </c>
    </row>
    <row r="78" spans="1:29">
      <c r="A78" s="6">
        <v>19</v>
      </c>
      <c r="B78" s="6" t="s">
        <v>50</v>
      </c>
      <c r="C78" s="6" t="b">
        <v>0</v>
      </c>
      <c r="D78" s="6" t="s">
        <v>510</v>
      </c>
      <c r="E78" s="6" t="s">
        <v>498</v>
      </c>
      <c r="F78" s="6" t="s">
        <v>499</v>
      </c>
      <c r="G78" s="6" t="s">
        <v>500</v>
      </c>
      <c r="H78" s="6" t="s">
        <v>501</v>
      </c>
      <c r="I78" s="6">
        <v>29.748999999999999</v>
      </c>
      <c r="J78" s="6">
        <v>29.66</v>
      </c>
      <c r="K78" s="6">
        <v>7.9000000000000001E-2</v>
      </c>
      <c r="S78" s="6" t="b">
        <v>1</v>
      </c>
      <c r="T78" s="6">
        <v>0.20699999999999999</v>
      </c>
      <c r="U78" s="6" t="b">
        <v>1</v>
      </c>
      <c r="V78" s="6">
        <v>3</v>
      </c>
      <c r="W78" s="6">
        <v>25</v>
      </c>
      <c r="X78" s="6" t="s">
        <v>502</v>
      </c>
      <c r="Z78" s="6">
        <v>0.95099999999999996</v>
      </c>
      <c r="AA78" s="6" t="s">
        <v>503</v>
      </c>
      <c r="AB78" s="6" t="s">
        <v>503</v>
      </c>
      <c r="AC78" s="6" t="s">
        <v>503</v>
      </c>
    </row>
    <row r="79" spans="1:29">
      <c r="A79" s="6">
        <v>19</v>
      </c>
      <c r="B79" s="6" t="s">
        <v>50</v>
      </c>
      <c r="C79" s="6" t="b">
        <v>0</v>
      </c>
      <c r="D79" s="6" t="s">
        <v>510</v>
      </c>
      <c r="E79" s="6" t="s">
        <v>504</v>
      </c>
      <c r="F79" s="6" t="s">
        <v>499</v>
      </c>
      <c r="G79" s="6" t="s">
        <v>505</v>
      </c>
      <c r="H79" s="6" t="s">
        <v>501</v>
      </c>
      <c r="I79" s="6">
        <v>17.718</v>
      </c>
      <c r="J79" s="6">
        <v>17.771000000000001</v>
      </c>
      <c r="K79" s="6">
        <v>5.8999999999999997E-2</v>
      </c>
      <c r="S79" s="6" t="b">
        <v>1</v>
      </c>
      <c r="T79" s="6">
        <v>0.16400000000000001</v>
      </c>
      <c r="U79" s="6" t="b">
        <v>1</v>
      </c>
      <c r="V79" s="6">
        <v>3</v>
      </c>
      <c r="W79" s="6">
        <v>12</v>
      </c>
      <c r="X79" s="6" t="s">
        <v>502</v>
      </c>
      <c r="Z79" s="6">
        <v>0.96399999999999997</v>
      </c>
      <c r="AA79" s="6" t="s">
        <v>503</v>
      </c>
      <c r="AB79" s="6" t="s">
        <v>503</v>
      </c>
      <c r="AC79" s="6" t="s">
        <v>503</v>
      </c>
    </row>
    <row r="80" spans="1:29">
      <c r="A80" s="6">
        <v>20</v>
      </c>
      <c r="B80" s="6" t="s">
        <v>51</v>
      </c>
      <c r="C80" s="6" t="b">
        <v>0</v>
      </c>
      <c r="D80" s="6" t="s">
        <v>510</v>
      </c>
      <c r="E80" s="6" t="s">
        <v>498</v>
      </c>
      <c r="F80" s="6" t="s">
        <v>499</v>
      </c>
      <c r="G80" s="6" t="s">
        <v>500</v>
      </c>
      <c r="H80" s="6" t="s">
        <v>501</v>
      </c>
      <c r="I80" s="6">
        <v>29.599</v>
      </c>
      <c r="J80" s="6">
        <v>29.66</v>
      </c>
      <c r="K80" s="6">
        <v>7.9000000000000001E-2</v>
      </c>
      <c r="S80" s="6" t="b">
        <v>1</v>
      </c>
      <c r="T80" s="6">
        <v>0.20699999999999999</v>
      </c>
      <c r="U80" s="6" t="b">
        <v>1</v>
      </c>
      <c r="V80" s="6">
        <v>3</v>
      </c>
      <c r="W80" s="6">
        <v>25</v>
      </c>
      <c r="X80" s="6" t="s">
        <v>502</v>
      </c>
      <c r="Z80" s="6">
        <v>0.96299999999999997</v>
      </c>
      <c r="AA80" s="6" t="s">
        <v>503</v>
      </c>
      <c r="AB80" s="6" t="s">
        <v>503</v>
      </c>
      <c r="AC80" s="6" t="s">
        <v>503</v>
      </c>
    </row>
    <row r="81" spans="1:29">
      <c r="A81" s="6">
        <v>20</v>
      </c>
      <c r="B81" s="6" t="s">
        <v>51</v>
      </c>
      <c r="C81" s="6" t="b">
        <v>0</v>
      </c>
      <c r="D81" s="6" t="s">
        <v>510</v>
      </c>
      <c r="E81" s="6" t="s">
        <v>504</v>
      </c>
      <c r="F81" s="6" t="s">
        <v>499</v>
      </c>
      <c r="G81" s="6" t="s">
        <v>505</v>
      </c>
      <c r="H81" s="6" t="s">
        <v>501</v>
      </c>
      <c r="I81" s="6">
        <v>17.760000000000002</v>
      </c>
      <c r="J81" s="6">
        <v>17.771000000000001</v>
      </c>
      <c r="K81" s="6">
        <v>5.8999999999999997E-2</v>
      </c>
      <c r="S81" s="6" t="b">
        <v>1</v>
      </c>
      <c r="T81" s="6">
        <v>0.16400000000000001</v>
      </c>
      <c r="U81" s="6" t="b">
        <v>1</v>
      </c>
      <c r="V81" s="6">
        <v>3</v>
      </c>
      <c r="W81" s="6">
        <v>13</v>
      </c>
      <c r="X81" s="6" t="s">
        <v>502</v>
      </c>
      <c r="Z81" s="6">
        <v>0.96499999999999997</v>
      </c>
      <c r="AA81" s="6" t="s">
        <v>503</v>
      </c>
      <c r="AB81" s="6" t="s">
        <v>503</v>
      </c>
      <c r="AC81" s="6" t="s">
        <v>503</v>
      </c>
    </row>
    <row r="82" spans="1:29">
      <c r="A82" s="6">
        <v>21</v>
      </c>
      <c r="B82" s="6" t="s">
        <v>52</v>
      </c>
      <c r="C82" s="6" t="b">
        <v>0</v>
      </c>
      <c r="D82" s="6" t="s">
        <v>510</v>
      </c>
      <c r="E82" s="6" t="s">
        <v>498</v>
      </c>
      <c r="F82" s="6" t="s">
        <v>499</v>
      </c>
      <c r="G82" s="6" t="s">
        <v>500</v>
      </c>
      <c r="H82" s="6" t="s">
        <v>501</v>
      </c>
      <c r="I82" s="6">
        <v>29.632999999999999</v>
      </c>
      <c r="J82" s="6">
        <v>29.66</v>
      </c>
      <c r="K82" s="6">
        <v>7.9000000000000001E-2</v>
      </c>
      <c r="S82" s="6" t="b">
        <v>1</v>
      </c>
      <c r="T82" s="6">
        <v>0.20699999999999999</v>
      </c>
      <c r="U82" s="6" t="b">
        <v>1</v>
      </c>
      <c r="V82" s="6">
        <v>3</v>
      </c>
      <c r="W82" s="6">
        <v>25</v>
      </c>
      <c r="X82" s="6" t="s">
        <v>502</v>
      </c>
      <c r="Z82" s="6">
        <v>0.95299999999999996</v>
      </c>
      <c r="AA82" s="6" t="s">
        <v>503</v>
      </c>
      <c r="AB82" s="6" t="s">
        <v>503</v>
      </c>
      <c r="AC82" s="6" t="s">
        <v>503</v>
      </c>
    </row>
    <row r="83" spans="1:29">
      <c r="A83" s="6">
        <v>21</v>
      </c>
      <c r="B83" s="6" t="s">
        <v>52</v>
      </c>
      <c r="C83" s="6" t="b">
        <v>0</v>
      </c>
      <c r="D83" s="6" t="s">
        <v>510</v>
      </c>
      <c r="E83" s="6" t="s">
        <v>504</v>
      </c>
      <c r="F83" s="6" t="s">
        <v>499</v>
      </c>
      <c r="G83" s="6" t="s">
        <v>505</v>
      </c>
      <c r="H83" s="6" t="s">
        <v>501</v>
      </c>
      <c r="I83" s="6">
        <v>17.834</v>
      </c>
      <c r="J83" s="6">
        <v>17.771000000000001</v>
      </c>
      <c r="K83" s="6">
        <v>5.8999999999999997E-2</v>
      </c>
      <c r="S83" s="6" t="b">
        <v>1</v>
      </c>
      <c r="T83" s="6">
        <v>0.16400000000000001</v>
      </c>
      <c r="U83" s="6" t="b">
        <v>1</v>
      </c>
      <c r="V83" s="6">
        <v>3</v>
      </c>
      <c r="W83" s="6">
        <v>12</v>
      </c>
      <c r="X83" s="6" t="s">
        <v>502</v>
      </c>
      <c r="Z83" s="6">
        <v>0.96299999999999997</v>
      </c>
      <c r="AA83" s="6" t="s">
        <v>503</v>
      </c>
      <c r="AB83" s="6" t="s">
        <v>503</v>
      </c>
      <c r="AC83" s="6" t="s">
        <v>503</v>
      </c>
    </row>
    <row r="84" spans="1:29">
      <c r="A84" s="6">
        <v>22</v>
      </c>
      <c r="B84" s="6" t="s">
        <v>53</v>
      </c>
      <c r="C84" s="6" t="b">
        <v>0</v>
      </c>
      <c r="D84" s="6" t="s">
        <v>511</v>
      </c>
      <c r="E84" s="6" t="s">
        <v>498</v>
      </c>
      <c r="F84" s="6" t="s">
        <v>499</v>
      </c>
      <c r="G84" s="6" t="s">
        <v>500</v>
      </c>
      <c r="H84" s="6" t="s">
        <v>501</v>
      </c>
      <c r="I84" s="6">
        <v>32.398000000000003</v>
      </c>
      <c r="J84" s="6">
        <v>32.457999999999998</v>
      </c>
      <c r="K84" s="6">
        <v>0.122</v>
      </c>
      <c r="S84" s="6" t="b">
        <v>1</v>
      </c>
      <c r="T84" s="6">
        <v>0.20699999999999999</v>
      </c>
      <c r="U84" s="6" t="b">
        <v>1</v>
      </c>
      <c r="V84" s="6">
        <v>3</v>
      </c>
      <c r="W84" s="6">
        <v>27</v>
      </c>
      <c r="X84" s="6" t="s">
        <v>502</v>
      </c>
      <c r="Z84" s="6">
        <v>0.95</v>
      </c>
      <c r="AA84" s="6" t="s">
        <v>503</v>
      </c>
      <c r="AB84" s="6" t="s">
        <v>503</v>
      </c>
      <c r="AC84" s="6" t="s">
        <v>503</v>
      </c>
    </row>
    <row r="85" spans="1:29">
      <c r="A85" s="6">
        <v>22</v>
      </c>
      <c r="B85" s="6" t="s">
        <v>53</v>
      </c>
      <c r="C85" s="6" t="b">
        <v>0</v>
      </c>
      <c r="D85" s="6" t="s">
        <v>511</v>
      </c>
      <c r="E85" s="6" t="s">
        <v>504</v>
      </c>
      <c r="F85" s="6" t="s">
        <v>499</v>
      </c>
      <c r="G85" s="6" t="s">
        <v>505</v>
      </c>
      <c r="H85" s="6" t="s">
        <v>501</v>
      </c>
      <c r="I85" s="6">
        <v>19.425999999999998</v>
      </c>
      <c r="J85" s="6">
        <v>19.600999999999999</v>
      </c>
      <c r="K85" s="6">
        <v>0.186</v>
      </c>
      <c r="S85" s="6" t="b">
        <v>1</v>
      </c>
      <c r="T85" s="6">
        <v>0.16400000000000001</v>
      </c>
      <c r="U85" s="6" t="b">
        <v>1</v>
      </c>
      <c r="V85" s="6">
        <v>3</v>
      </c>
      <c r="W85" s="6">
        <v>14</v>
      </c>
      <c r="X85" s="6" t="s">
        <v>502</v>
      </c>
      <c r="Z85" s="6">
        <v>0.96099999999999997</v>
      </c>
      <c r="AA85" s="6" t="s">
        <v>503</v>
      </c>
      <c r="AB85" s="6" t="s">
        <v>503</v>
      </c>
      <c r="AC85" s="6" t="s">
        <v>503</v>
      </c>
    </row>
    <row r="86" spans="1:29">
      <c r="A86" s="6">
        <v>23</v>
      </c>
      <c r="B86" s="6" t="s">
        <v>54</v>
      </c>
      <c r="C86" s="6" t="b">
        <v>0</v>
      </c>
      <c r="D86" s="6" t="s">
        <v>511</v>
      </c>
      <c r="E86" s="6" t="s">
        <v>498</v>
      </c>
      <c r="F86" s="6" t="s">
        <v>499</v>
      </c>
      <c r="G86" s="6" t="s">
        <v>500</v>
      </c>
      <c r="H86" s="6" t="s">
        <v>501</v>
      </c>
      <c r="I86" s="6">
        <v>32.598999999999997</v>
      </c>
      <c r="J86" s="6">
        <v>32.457999999999998</v>
      </c>
      <c r="K86" s="6">
        <v>0.122</v>
      </c>
      <c r="S86" s="6" t="b">
        <v>1</v>
      </c>
      <c r="T86" s="6">
        <v>0.20699999999999999</v>
      </c>
      <c r="U86" s="6" t="b">
        <v>1</v>
      </c>
      <c r="V86" s="6">
        <v>3</v>
      </c>
      <c r="W86" s="6">
        <v>28</v>
      </c>
      <c r="X86" s="6" t="s">
        <v>502</v>
      </c>
      <c r="Z86" s="6">
        <v>0.95499999999999996</v>
      </c>
      <c r="AA86" s="6" t="s">
        <v>503</v>
      </c>
      <c r="AB86" s="6" t="s">
        <v>503</v>
      </c>
      <c r="AC86" s="6" t="s">
        <v>503</v>
      </c>
    </row>
    <row r="87" spans="1:29">
      <c r="A87" s="6">
        <v>23</v>
      </c>
      <c r="B87" s="6" t="s">
        <v>54</v>
      </c>
      <c r="C87" s="6" t="b">
        <v>0</v>
      </c>
      <c r="D87" s="6" t="s">
        <v>511</v>
      </c>
      <c r="E87" s="6" t="s">
        <v>504</v>
      </c>
      <c r="F87" s="6" t="s">
        <v>499</v>
      </c>
      <c r="G87" s="6" t="s">
        <v>505</v>
      </c>
      <c r="H87" s="6" t="s">
        <v>501</v>
      </c>
      <c r="I87" s="6">
        <v>19.582000000000001</v>
      </c>
      <c r="J87" s="6">
        <v>19.600999999999999</v>
      </c>
      <c r="K87" s="6">
        <v>0.186</v>
      </c>
      <c r="S87" s="6" t="b">
        <v>1</v>
      </c>
      <c r="T87" s="6">
        <v>0.16400000000000001</v>
      </c>
      <c r="U87" s="6" t="b">
        <v>1</v>
      </c>
      <c r="V87" s="6">
        <v>3</v>
      </c>
      <c r="W87" s="6">
        <v>14</v>
      </c>
      <c r="X87" s="6" t="s">
        <v>502</v>
      </c>
      <c r="Z87" s="6">
        <v>0.97199999999999998</v>
      </c>
      <c r="AA87" s="6" t="s">
        <v>503</v>
      </c>
      <c r="AB87" s="6" t="s">
        <v>503</v>
      </c>
      <c r="AC87" s="6" t="s">
        <v>503</v>
      </c>
    </row>
    <row r="88" spans="1:29">
      <c r="A88" s="6">
        <v>24</v>
      </c>
      <c r="B88" s="6" t="s">
        <v>55</v>
      </c>
      <c r="C88" s="6" t="b">
        <v>0</v>
      </c>
      <c r="D88" s="6" t="s">
        <v>511</v>
      </c>
      <c r="E88" s="6" t="s">
        <v>498</v>
      </c>
      <c r="F88" s="6" t="s">
        <v>499</v>
      </c>
      <c r="G88" s="6" t="s">
        <v>500</v>
      </c>
      <c r="H88" s="6" t="s">
        <v>501</v>
      </c>
      <c r="I88" s="6">
        <v>32.378</v>
      </c>
      <c r="J88" s="6">
        <v>32.457999999999998</v>
      </c>
      <c r="K88" s="6">
        <v>0.122</v>
      </c>
      <c r="S88" s="6" t="b">
        <v>1</v>
      </c>
      <c r="T88" s="6">
        <v>0.20699999999999999</v>
      </c>
      <c r="U88" s="6" t="b">
        <v>1</v>
      </c>
      <c r="V88" s="6">
        <v>3</v>
      </c>
      <c r="W88" s="6">
        <v>28</v>
      </c>
      <c r="X88" s="6" t="s">
        <v>502</v>
      </c>
      <c r="Z88" s="6">
        <v>0.95099999999999996</v>
      </c>
      <c r="AA88" s="6" t="s">
        <v>503</v>
      </c>
      <c r="AB88" s="6" t="s">
        <v>503</v>
      </c>
      <c r="AC88" s="6" t="s">
        <v>503</v>
      </c>
    </row>
    <row r="89" spans="1:29">
      <c r="A89" s="6">
        <v>24</v>
      </c>
      <c r="B89" s="6" t="s">
        <v>55</v>
      </c>
      <c r="C89" s="6" t="b">
        <v>0</v>
      </c>
      <c r="D89" s="6" t="s">
        <v>511</v>
      </c>
      <c r="E89" s="6" t="s">
        <v>504</v>
      </c>
      <c r="F89" s="6" t="s">
        <v>499</v>
      </c>
      <c r="G89" s="6" t="s">
        <v>505</v>
      </c>
      <c r="H89" s="6" t="s">
        <v>501</v>
      </c>
      <c r="I89" s="6">
        <v>19.795999999999999</v>
      </c>
      <c r="J89" s="6">
        <v>19.600999999999999</v>
      </c>
      <c r="K89" s="6">
        <v>0.186</v>
      </c>
      <c r="S89" s="6" t="b">
        <v>1</v>
      </c>
      <c r="T89" s="6">
        <v>0.16400000000000001</v>
      </c>
      <c r="U89" s="6" t="b">
        <v>1</v>
      </c>
      <c r="V89" s="6">
        <v>3</v>
      </c>
      <c r="W89" s="6">
        <v>14</v>
      </c>
      <c r="X89" s="6" t="s">
        <v>502</v>
      </c>
      <c r="Z89" s="6">
        <v>0.96699999999999997</v>
      </c>
      <c r="AA89" s="6" t="s">
        <v>503</v>
      </c>
      <c r="AB89" s="6" t="s">
        <v>503</v>
      </c>
      <c r="AC89" s="6" t="s">
        <v>503</v>
      </c>
    </row>
    <row r="90" spans="1:29">
      <c r="A90" s="6">
        <v>25</v>
      </c>
      <c r="B90" s="6" t="s">
        <v>247</v>
      </c>
      <c r="C90" s="6" t="b">
        <v>0</v>
      </c>
      <c r="D90" s="6" t="s">
        <v>227</v>
      </c>
      <c r="E90" s="6" t="s">
        <v>498</v>
      </c>
      <c r="F90" s="6" t="s">
        <v>499</v>
      </c>
      <c r="G90" s="6" t="s">
        <v>500</v>
      </c>
      <c r="H90" s="6" t="s">
        <v>501</v>
      </c>
      <c r="I90" s="6">
        <v>26.28</v>
      </c>
      <c r="J90" s="6">
        <v>26.228999999999999</v>
      </c>
      <c r="K90" s="6">
        <v>6.9000000000000006E-2</v>
      </c>
      <c r="S90" s="6" t="b">
        <v>1</v>
      </c>
      <c r="T90" s="6">
        <v>0.20699999999999999</v>
      </c>
      <c r="U90" s="6" t="b">
        <v>1</v>
      </c>
      <c r="V90" s="6">
        <v>3</v>
      </c>
      <c r="W90" s="6">
        <v>22</v>
      </c>
      <c r="X90" s="6" t="s">
        <v>502</v>
      </c>
      <c r="Z90" s="6">
        <v>0.96099999999999997</v>
      </c>
      <c r="AA90" s="6" t="s">
        <v>503</v>
      </c>
      <c r="AB90" s="6" t="s">
        <v>503</v>
      </c>
      <c r="AC90" s="6" t="s">
        <v>503</v>
      </c>
    </row>
    <row r="91" spans="1:29">
      <c r="A91" s="6">
        <v>25</v>
      </c>
      <c r="B91" s="6" t="s">
        <v>247</v>
      </c>
      <c r="C91" s="6" t="b">
        <v>0</v>
      </c>
      <c r="D91" s="6" t="s">
        <v>227</v>
      </c>
      <c r="E91" s="6" t="s">
        <v>504</v>
      </c>
      <c r="F91" s="6" t="s">
        <v>499</v>
      </c>
      <c r="G91" s="6" t="s">
        <v>505</v>
      </c>
      <c r="H91" s="6" t="s">
        <v>501</v>
      </c>
      <c r="I91" s="6">
        <v>19.777000000000001</v>
      </c>
      <c r="J91" s="6">
        <v>19.678000000000001</v>
      </c>
      <c r="K91" s="6">
        <v>9.0999999999999998E-2</v>
      </c>
      <c r="S91" s="6" t="b">
        <v>1</v>
      </c>
      <c r="T91" s="6">
        <v>0.16400000000000001</v>
      </c>
      <c r="U91" s="6" t="b">
        <v>1</v>
      </c>
      <c r="V91" s="6">
        <v>3</v>
      </c>
      <c r="W91" s="6">
        <v>15</v>
      </c>
      <c r="X91" s="6" t="s">
        <v>502</v>
      </c>
      <c r="Z91" s="6">
        <v>0.96399999999999997</v>
      </c>
      <c r="AA91" s="6" t="s">
        <v>503</v>
      </c>
      <c r="AB91" s="6" t="s">
        <v>503</v>
      </c>
      <c r="AC91" s="6" t="s">
        <v>503</v>
      </c>
    </row>
    <row r="92" spans="1:29">
      <c r="A92" s="6">
        <v>26</v>
      </c>
      <c r="B92" s="6" t="s">
        <v>248</v>
      </c>
      <c r="C92" s="6" t="b">
        <v>0</v>
      </c>
      <c r="D92" s="6" t="s">
        <v>227</v>
      </c>
      <c r="E92" s="6" t="s">
        <v>498</v>
      </c>
      <c r="F92" s="6" t="s">
        <v>499</v>
      </c>
      <c r="G92" s="6" t="s">
        <v>500</v>
      </c>
      <c r="H92" s="6" t="s">
        <v>501</v>
      </c>
      <c r="I92" s="6">
        <v>26.151</v>
      </c>
      <c r="J92" s="6">
        <v>26.228999999999999</v>
      </c>
      <c r="K92" s="6">
        <v>6.9000000000000006E-2</v>
      </c>
      <c r="S92" s="6" t="b">
        <v>1</v>
      </c>
      <c r="T92" s="6">
        <v>0.20699999999999999</v>
      </c>
      <c r="U92" s="6" t="b">
        <v>1</v>
      </c>
      <c r="V92" s="6">
        <v>3</v>
      </c>
      <c r="W92" s="6">
        <v>21</v>
      </c>
      <c r="X92" s="6" t="s">
        <v>502</v>
      </c>
      <c r="Z92" s="6">
        <v>0.95099999999999996</v>
      </c>
      <c r="AA92" s="6" t="s">
        <v>503</v>
      </c>
      <c r="AB92" s="6" t="s">
        <v>503</v>
      </c>
      <c r="AC92" s="6" t="s">
        <v>503</v>
      </c>
    </row>
    <row r="93" spans="1:29">
      <c r="A93" s="6">
        <v>26</v>
      </c>
      <c r="B93" s="6" t="s">
        <v>248</v>
      </c>
      <c r="C93" s="6" t="b">
        <v>0</v>
      </c>
      <c r="D93" s="6" t="s">
        <v>227</v>
      </c>
      <c r="E93" s="6" t="s">
        <v>504</v>
      </c>
      <c r="F93" s="6" t="s">
        <v>499</v>
      </c>
      <c r="G93" s="6" t="s">
        <v>505</v>
      </c>
      <c r="H93" s="6" t="s">
        <v>501</v>
      </c>
      <c r="I93" s="6">
        <v>19.597000000000001</v>
      </c>
      <c r="J93" s="6">
        <v>19.678000000000001</v>
      </c>
      <c r="K93" s="6">
        <v>9.0999999999999998E-2</v>
      </c>
      <c r="S93" s="6" t="b">
        <v>1</v>
      </c>
      <c r="T93" s="6">
        <v>0.16400000000000001</v>
      </c>
      <c r="U93" s="6" t="b">
        <v>1</v>
      </c>
      <c r="V93" s="6">
        <v>3</v>
      </c>
      <c r="W93" s="6">
        <v>14</v>
      </c>
      <c r="X93" s="6" t="s">
        <v>502</v>
      </c>
      <c r="Z93" s="6">
        <v>0.96299999999999997</v>
      </c>
      <c r="AA93" s="6" t="s">
        <v>503</v>
      </c>
      <c r="AB93" s="6" t="s">
        <v>503</v>
      </c>
      <c r="AC93" s="6" t="s">
        <v>503</v>
      </c>
    </row>
    <row r="94" spans="1:29">
      <c r="A94" s="6">
        <v>27</v>
      </c>
      <c r="B94" s="6" t="s">
        <v>249</v>
      </c>
      <c r="C94" s="6" t="b">
        <v>0</v>
      </c>
      <c r="D94" s="6" t="s">
        <v>227</v>
      </c>
      <c r="E94" s="6" t="s">
        <v>498</v>
      </c>
      <c r="F94" s="6" t="s">
        <v>499</v>
      </c>
      <c r="G94" s="6" t="s">
        <v>500</v>
      </c>
      <c r="H94" s="6" t="s">
        <v>501</v>
      </c>
      <c r="I94" s="6">
        <v>26.256</v>
      </c>
      <c r="J94" s="6">
        <v>26.228999999999999</v>
      </c>
      <c r="K94" s="6">
        <v>6.9000000000000006E-2</v>
      </c>
      <c r="S94" s="6" t="b">
        <v>1</v>
      </c>
      <c r="T94" s="6">
        <v>0.20699999999999999</v>
      </c>
      <c r="U94" s="6" t="b">
        <v>1</v>
      </c>
      <c r="V94" s="6">
        <v>3</v>
      </c>
      <c r="W94" s="6">
        <v>22</v>
      </c>
      <c r="X94" s="6" t="s">
        <v>502</v>
      </c>
      <c r="Z94" s="6">
        <v>0.95299999999999996</v>
      </c>
      <c r="AA94" s="6" t="s">
        <v>503</v>
      </c>
      <c r="AB94" s="6" t="s">
        <v>503</v>
      </c>
      <c r="AC94" s="6" t="s">
        <v>503</v>
      </c>
    </row>
    <row r="95" spans="1:29">
      <c r="A95" s="6">
        <v>27</v>
      </c>
      <c r="B95" s="6" t="s">
        <v>249</v>
      </c>
      <c r="C95" s="6" t="b">
        <v>0</v>
      </c>
      <c r="D95" s="6" t="s">
        <v>227</v>
      </c>
      <c r="E95" s="6" t="s">
        <v>504</v>
      </c>
      <c r="F95" s="6" t="s">
        <v>499</v>
      </c>
      <c r="G95" s="6" t="s">
        <v>505</v>
      </c>
      <c r="H95" s="6" t="s">
        <v>501</v>
      </c>
      <c r="I95" s="6">
        <v>19.661999999999999</v>
      </c>
      <c r="J95" s="6">
        <v>19.678000000000001</v>
      </c>
      <c r="K95" s="6">
        <v>9.0999999999999998E-2</v>
      </c>
      <c r="S95" s="6" t="b">
        <v>1</v>
      </c>
      <c r="T95" s="6">
        <v>0.16400000000000001</v>
      </c>
      <c r="U95" s="6" t="b">
        <v>1</v>
      </c>
      <c r="V95" s="6">
        <v>3</v>
      </c>
      <c r="W95" s="6">
        <v>14</v>
      </c>
      <c r="X95" s="6" t="s">
        <v>502</v>
      </c>
      <c r="Z95" s="6">
        <v>0.96199999999999997</v>
      </c>
      <c r="AA95" s="6" t="s">
        <v>503</v>
      </c>
      <c r="AB95" s="6" t="s">
        <v>503</v>
      </c>
      <c r="AC95" s="6" t="s">
        <v>503</v>
      </c>
    </row>
    <row r="96" spans="1:29">
      <c r="A96" s="6">
        <v>28</v>
      </c>
      <c r="B96" s="6" t="s">
        <v>56</v>
      </c>
      <c r="C96" s="6" t="b">
        <v>0</v>
      </c>
      <c r="D96" s="6" t="s">
        <v>512</v>
      </c>
      <c r="E96" s="6" t="s">
        <v>498</v>
      </c>
      <c r="F96" s="6" t="s">
        <v>499</v>
      </c>
      <c r="G96" s="6" t="s">
        <v>500</v>
      </c>
      <c r="H96" s="6" t="s">
        <v>501</v>
      </c>
      <c r="I96" s="6">
        <v>29.847000000000001</v>
      </c>
      <c r="J96" s="6">
        <v>30.164000000000001</v>
      </c>
      <c r="K96" s="6">
        <v>0.30399999999999999</v>
      </c>
      <c r="S96" s="6" t="b">
        <v>1</v>
      </c>
      <c r="T96" s="6">
        <v>0.20699999999999999</v>
      </c>
      <c r="U96" s="6" t="b">
        <v>1</v>
      </c>
      <c r="V96" s="6">
        <v>3</v>
      </c>
      <c r="W96" s="6">
        <v>25</v>
      </c>
      <c r="X96" s="6" t="s">
        <v>502</v>
      </c>
      <c r="Z96" s="6">
        <v>0.94399999999999995</v>
      </c>
      <c r="AA96" s="6" t="s">
        <v>503</v>
      </c>
      <c r="AB96" s="6" t="s">
        <v>503</v>
      </c>
      <c r="AC96" s="6" t="s">
        <v>503</v>
      </c>
    </row>
    <row r="97" spans="1:29">
      <c r="A97" s="6">
        <v>28</v>
      </c>
      <c r="B97" s="6" t="s">
        <v>56</v>
      </c>
      <c r="C97" s="6" t="b">
        <v>0</v>
      </c>
      <c r="D97" s="6" t="s">
        <v>512</v>
      </c>
      <c r="E97" s="6" t="s">
        <v>504</v>
      </c>
      <c r="F97" s="6" t="s">
        <v>499</v>
      </c>
      <c r="G97" s="6" t="s">
        <v>505</v>
      </c>
      <c r="H97" s="6" t="s">
        <v>501</v>
      </c>
      <c r="I97" s="6">
        <v>25.404</v>
      </c>
      <c r="J97" s="6">
        <v>25.872</v>
      </c>
      <c r="K97" s="6">
        <v>0.42299999999999999</v>
      </c>
      <c r="S97" s="6" t="b">
        <v>1</v>
      </c>
      <c r="T97" s="6">
        <v>0.16400000000000001</v>
      </c>
      <c r="U97" s="6" t="b">
        <v>1</v>
      </c>
      <c r="V97" s="6">
        <v>3</v>
      </c>
      <c r="W97" s="6">
        <v>20</v>
      </c>
      <c r="X97" s="6" t="s">
        <v>502</v>
      </c>
      <c r="Z97" s="6">
        <v>0.94799999999999995</v>
      </c>
      <c r="AA97" s="6" t="s">
        <v>503</v>
      </c>
      <c r="AB97" s="6" t="s">
        <v>503</v>
      </c>
      <c r="AC97" s="6" t="s">
        <v>503</v>
      </c>
    </row>
    <row r="98" spans="1:29">
      <c r="A98" s="6">
        <v>29</v>
      </c>
      <c r="B98" s="6" t="s">
        <v>57</v>
      </c>
      <c r="C98" s="6" t="b">
        <v>0</v>
      </c>
      <c r="D98" s="6" t="s">
        <v>512</v>
      </c>
      <c r="E98" s="6" t="s">
        <v>498</v>
      </c>
      <c r="F98" s="6" t="s">
        <v>499</v>
      </c>
      <c r="G98" s="6" t="s">
        <v>500</v>
      </c>
      <c r="H98" s="6" t="s">
        <v>501</v>
      </c>
      <c r="I98" s="6">
        <v>30.192</v>
      </c>
      <c r="J98" s="6">
        <v>30.164000000000001</v>
      </c>
      <c r="K98" s="6">
        <v>0.30399999999999999</v>
      </c>
      <c r="S98" s="6" t="b">
        <v>1</v>
      </c>
      <c r="T98" s="6">
        <v>0.20699999999999999</v>
      </c>
      <c r="U98" s="6" t="b">
        <v>1</v>
      </c>
      <c r="V98" s="6">
        <v>3</v>
      </c>
      <c r="W98" s="6">
        <v>25</v>
      </c>
      <c r="X98" s="6" t="s">
        <v>502</v>
      </c>
      <c r="Z98" s="6">
        <v>0.94599999999999995</v>
      </c>
      <c r="AA98" s="6" t="s">
        <v>503</v>
      </c>
      <c r="AB98" s="6" t="s">
        <v>503</v>
      </c>
      <c r="AC98" s="6" t="s">
        <v>503</v>
      </c>
    </row>
    <row r="99" spans="1:29">
      <c r="A99" s="6">
        <v>29</v>
      </c>
      <c r="B99" s="6" t="s">
        <v>57</v>
      </c>
      <c r="C99" s="6" t="b">
        <v>0</v>
      </c>
      <c r="D99" s="6" t="s">
        <v>512</v>
      </c>
      <c r="E99" s="6" t="s">
        <v>504</v>
      </c>
      <c r="F99" s="6" t="s">
        <v>499</v>
      </c>
      <c r="G99" s="6" t="s">
        <v>505</v>
      </c>
      <c r="H99" s="6" t="s">
        <v>501</v>
      </c>
      <c r="I99" s="6">
        <v>25.986999999999998</v>
      </c>
      <c r="J99" s="6">
        <v>25.872</v>
      </c>
      <c r="K99" s="6">
        <v>0.42299999999999999</v>
      </c>
      <c r="S99" s="6" t="b">
        <v>1</v>
      </c>
      <c r="T99" s="6">
        <v>0.16400000000000001</v>
      </c>
      <c r="U99" s="6" t="b">
        <v>1</v>
      </c>
      <c r="V99" s="6">
        <v>3</v>
      </c>
      <c r="W99" s="6">
        <v>21</v>
      </c>
      <c r="X99" s="6" t="s">
        <v>502</v>
      </c>
      <c r="Z99" s="6">
        <v>0.95699999999999996</v>
      </c>
      <c r="AA99" s="6" t="s">
        <v>503</v>
      </c>
      <c r="AB99" s="6" t="s">
        <v>503</v>
      </c>
      <c r="AC99" s="6" t="s">
        <v>503</v>
      </c>
    </row>
    <row r="100" spans="1:29">
      <c r="A100" s="6">
        <v>30</v>
      </c>
      <c r="B100" s="6" t="s">
        <v>58</v>
      </c>
      <c r="C100" s="6" t="b">
        <v>0</v>
      </c>
      <c r="D100" s="6" t="s">
        <v>512</v>
      </c>
      <c r="E100" s="6" t="s">
        <v>498</v>
      </c>
      <c r="F100" s="6" t="s">
        <v>499</v>
      </c>
      <c r="G100" s="6" t="s">
        <v>500</v>
      </c>
      <c r="H100" s="6" t="s">
        <v>501</v>
      </c>
      <c r="I100" s="6">
        <v>30.452999999999999</v>
      </c>
      <c r="J100" s="6">
        <v>30.164000000000001</v>
      </c>
      <c r="K100" s="6">
        <v>0.30399999999999999</v>
      </c>
      <c r="S100" s="6" t="b">
        <v>1</v>
      </c>
      <c r="T100" s="6">
        <v>0.20699999999999999</v>
      </c>
      <c r="U100" s="6" t="b">
        <v>1</v>
      </c>
      <c r="V100" s="6">
        <v>3</v>
      </c>
      <c r="W100" s="6">
        <v>25</v>
      </c>
      <c r="X100" s="6" t="s">
        <v>502</v>
      </c>
      <c r="Z100" s="6">
        <v>0.94699999999999995</v>
      </c>
      <c r="AA100" s="6" t="s">
        <v>503</v>
      </c>
      <c r="AB100" s="6" t="s">
        <v>503</v>
      </c>
      <c r="AC100" s="6" t="s">
        <v>503</v>
      </c>
    </row>
    <row r="101" spans="1:29">
      <c r="A101" s="6">
        <v>30</v>
      </c>
      <c r="B101" s="6" t="s">
        <v>58</v>
      </c>
      <c r="C101" s="6" t="b">
        <v>0</v>
      </c>
      <c r="D101" s="6" t="s">
        <v>512</v>
      </c>
      <c r="E101" s="6" t="s">
        <v>504</v>
      </c>
      <c r="F101" s="6" t="s">
        <v>499</v>
      </c>
      <c r="G101" s="6" t="s">
        <v>505</v>
      </c>
      <c r="H101" s="6" t="s">
        <v>501</v>
      </c>
      <c r="I101" s="6">
        <v>26.225999999999999</v>
      </c>
      <c r="J101" s="6">
        <v>25.872</v>
      </c>
      <c r="K101" s="6">
        <v>0.42299999999999999</v>
      </c>
      <c r="S101" s="6" t="b">
        <v>1</v>
      </c>
      <c r="T101" s="6">
        <v>0.16400000000000001</v>
      </c>
      <c r="U101" s="6" t="b">
        <v>1</v>
      </c>
      <c r="V101" s="6">
        <v>3</v>
      </c>
      <c r="W101" s="6">
        <v>21</v>
      </c>
      <c r="X101" s="6" t="s">
        <v>502</v>
      </c>
      <c r="Z101" s="6">
        <v>0.95499999999999996</v>
      </c>
      <c r="AA101" s="6" t="s">
        <v>503</v>
      </c>
      <c r="AB101" s="6" t="s">
        <v>503</v>
      </c>
      <c r="AC101" s="6" t="s">
        <v>503</v>
      </c>
    </row>
    <row r="102" spans="1:29">
      <c r="A102" s="6">
        <v>31</v>
      </c>
      <c r="B102" s="6" t="s">
        <v>59</v>
      </c>
      <c r="C102" s="6" t="b">
        <v>0</v>
      </c>
      <c r="D102" s="6" t="s">
        <v>513</v>
      </c>
      <c r="E102" s="6" t="s">
        <v>498</v>
      </c>
      <c r="F102" s="6" t="s">
        <v>499</v>
      </c>
      <c r="G102" s="6" t="s">
        <v>500</v>
      </c>
      <c r="H102" s="6" t="s">
        <v>501</v>
      </c>
      <c r="I102" s="6">
        <v>29.728000000000002</v>
      </c>
      <c r="J102" s="6">
        <v>29.690999999999999</v>
      </c>
      <c r="K102" s="6">
        <v>4.8000000000000001E-2</v>
      </c>
      <c r="S102" s="6" t="b">
        <v>1</v>
      </c>
      <c r="T102" s="6">
        <v>0.20699999999999999</v>
      </c>
      <c r="U102" s="6" t="b">
        <v>1</v>
      </c>
      <c r="V102" s="6">
        <v>3</v>
      </c>
      <c r="W102" s="6">
        <v>25</v>
      </c>
      <c r="X102" s="6" t="s">
        <v>502</v>
      </c>
      <c r="Z102" s="6">
        <v>0.94699999999999995</v>
      </c>
      <c r="AA102" s="6" t="s">
        <v>503</v>
      </c>
      <c r="AB102" s="6" t="s">
        <v>503</v>
      </c>
      <c r="AC102" s="6" t="s">
        <v>503</v>
      </c>
    </row>
    <row r="103" spans="1:29">
      <c r="A103" s="6">
        <v>31</v>
      </c>
      <c r="B103" s="6" t="s">
        <v>59</v>
      </c>
      <c r="C103" s="6" t="b">
        <v>0</v>
      </c>
      <c r="D103" s="6" t="s">
        <v>513</v>
      </c>
      <c r="E103" s="6" t="s">
        <v>504</v>
      </c>
      <c r="F103" s="6" t="s">
        <v>499</v>
      </c>
      <c r="G103" s="6" t="s">
        <v>505</v>
      </c>
      <c r="H103" s="6" t="s">
        <v>501</v>
      </c>
      <c r="I103" s="6">
        <v>18.974</v>
      </c>
      <c r="J103" s="6">
        <v>19.038</v>
      </c>
      <c r="K103" s="6">
        <v>6.8000000000000005E-2</v>
      </c>
      <c r="S103" s="6" t="b">
        <v>1</v>
      </c>
      <c r="T103" s="6">
        <v>0.16400000000000001</v>
      </c>
      <c r="U103" s="6" t="b">
        <v>1</v>
      </c>
      <c r="V103" s="6">
        <v>3</v>
      </c>
      <c r="W103" s="6">
        <v>14</v>
      </c>
      <c r="X103" s="6" t="s">
        <v>502</v>
      </c>
      <c r="Z103" s="6">
        <v>0.96199999999999997</v>
      </c>
      <c r="AA103" s="6" t="s">
        <v>503</v>
      </c>
      <c r="AB103" s="6" t="s">
        <v>503</v>
      </c>
      <c r="AC103" s="6" t="s">
        <v>503</v>
      </c>
    </row>
    <row r="104" spans="1:29">
      <c r="A104" s="6">
        <v>32</v>
      </c>
      <c r="B104" s="6" t="s">
        <v>60</v>
      </c>
      <c r="C104" s="6" t="b">
        <v>0</v>
      </c>
      <c r="D104" s="6" t="s">
        <v>513</v>
      </c>
      <c r="E104" s="6" t="s">
        <v>498</v>
      </c>
      <c r="F104" s="6" t="s">
        <v>499</v>
      </c>
      <c r="G104" s="6" t="s">
        <v>500</v>
      </c>
      <c r="H104" s="6" t="s">
        <v>501</v>
      </c>
      <c r="I104" s="6">
        <v>29.635999999999999</v>
      </c>
      <c r="J104" s="6">
        <v>29.690999999999999</v>
      </c>
      <c r="K104" s="6">
        <v>4.8000000000000001E-2</v>
      </c>
      <c r="S104" s="6" t="b">
        <v>1</v>
      </c>
      <c r="T104" s="6">
        <v>0.20699999999999999</v>
      </c>
      <c r="U104" s="6" t="b">
        <v>1</v>
      </c>
      <c r="V104" s="6">
        <v>3</v>
      </c>
      <c r="W104" s="6">
        <v>25</v>
      </c>
      <c r="X104" s="6" t="s">
        <v>502</v>
      </c>
      <c r="Z104" s="6">
        <v>0.95299999999999996</v>
      </c>
      <c r="AA104" s="6" t="s">
        <v>503</v>
      </c>
      <c r="AB104" s="6" t="s">
        <v>503</v>
      </c>
      <c r="AC104" s="6" t="s">
        <v>503</v>
      </c>
    </row>
    <row r="105" spans="1:29">
      <c r="A105" s="6">
        <v>32</v>
      </c>
      <c r="B105" s="6" t="s">
        <v>60</v>
      </c>
      <c r="C105" s="6" t="b">
        <v>0</v>
      </c>
      <c r="D105" s="6" t="s">
        <v>513</v>
      </c>
      <c r="E105" s="6" t="s">
        <v>504</v>
      </c>
      <c r="F105" s="6" t="s">
        <v>499</v>
      </c>
      <c r="G105" s="6" t="s">
        <v>505</v>
      </c>
      <c r="H105" s="6" t="s">
        <v>501</v>
      </c>
      <c r="I105" s="6">
        <v>19.029</v>
      </c>
      <c r="J105" s="6">
        <v>19.038</v>
      </c>
      <c r="K105" s="6">
        <v>6.8000000000000005E-2</v>
      </c>
      <c r="S105" s="6" t="b">
        <v>1</v>
      </c>
      <c r="T105" s="6">
        <v>0.16400000000000001</v>
      </c>
      <c r="U105" s="6" t="b">
        <v>1</v>
      </c>
      <c r="V105" s="6">
        <v>3</v>
      </c>
      <c r="W105" s="6">
        <v>14</v>
      </c>
      <c r="X105" s="6" t="s">
        <v>502</v>
      </c>
      <c r="Z105" s="6">
        <v>0.96</v>
      </c>
      <c r="AA105" s="6" t="s">
        <v>503</v>
      </c>
      <c r="AB105" s="6" t="s">
        <v>503</v>
      </c>
      <c r="AC105" s="6" t="s">
        <v>503</v>
      </c>
    </row>
    <row r="106" spans="1:29">
      <c r="A106" s="6">
        <v>33</v>
      </c>
      <c r="B106" s="6" t="s">
        <v>61</v>
      </c>
      <c r="C106" s="6" t="b">
        <v>0</v>
      </c>
      <c r="D106" s="6" t="s">
        <v>513</v>
      </c>
      <c r="E106" s="6" t="s">
        <v>498</v>
      </c>
      <c r="F106" s="6" t="s">
        <v>499</v>
      </c>
      <c r="G106" s="6" t="s">
        <v>500</v>
      </c>
      <c r="H106" s="6" t="s">
        <v>501</v>
      </c>
      <c r="I106" s="6">
        <v>29.709</v>
      </c>
      <c r="J106" s="6">
        <v>29.690999999999999</v>
      </c>
      <c r="K106" s="6">
        <v>4.8000000000000001E-2</v>
      </c>
      <c r="S106" s="6" t="b">
        <v>1</v>
      </c>
      <c r="T106" s="6">
        <v>0.20699999999999999</v>
      </c>
      <c r="U106" s="6" t="b">
        <v>1</v>
      </c>
      <c r="V106" s="6">
        <v>3</v>
      </c>
      <c r="W106" s="6">
        <v>25</v>
      </c>
      <c r="X106" s="6" t="s">
        <v>502</v>
      </c>
      <c r="Z106" s="6">
        <v>0.95099999999999996</v>
      </c>
      <c r="AA106" s="6" t="s">
        <v>503</v>
      </c>
      <c r="AB106" s="6" t="s">
        <v>503</v>
      </c>
      <c r="AC106" s="6" t="s">
        <v>503</v>
      </c>
    </row>
    <row r="107" spans="1:29">
      <c r="A107" s="6">
        <v>33</v>
      </c>
      <c r="B107" s="6" t="s">
        <v>61</v>
      </c>
      <c r="C107" s="6" t="b">
        <v>0</v>
      </c>
      <c r="D107" s="6" t="s">
        <v>513</v>
      </c>
      <c r="E107" s="6" t="s">
        <v>504</v>
      </c>
      <c r="F107" s="6" t="s">
        <v>499</v>
      </c>
      <c r="G107" s="6" t="s">
        <v>505</v>
      </c>
      <c r="H107" s="6" t="s">
        <v>501</v>
      </c>
      <c r="I107" s="6">
        <v>19.11</v>
      </c>
      <c r="J107" s="6">
        <v>19.038</v>
      </c>
      <c r="K107" s="6">
        <v>6.8000000000000005E-2</v>
      </c>
      <c r="S107" s="6" t="b">
        <v>1</v>
      </c>
      <c r="T107" s="6">
        <v>0.16400000000000001</v>
      </c>
      <c r="U107" s="6" t="b">
        <v>1</v>
      </c>
      <c r="V107" s="6">
        <v>3</v>
      </c>
      <c r="W107" s="6">
        <v>14</v>
      </c>
      <c r="X107" s="6" t="s">
        <v>502</v>
      </c>
      <c r="Z107" s="6">
        <v>0.96</v>
      </c>
      <c r="AA107" s="6" t="s">
        <v>503</v>
      </c>
      <c r="AB107" s="6" t="s">
        <v>503</v>
      </c>
      <c r="AC107" s="6" t="s">
        <v>503</v>
      </c>
    </row>
    <row r="108" spans="1:29">
      <c r="A108" s="6">
        <v>34</v>
      </c>
      <c r="B108" s="6" t="s">
        <v>62</v>
      </c>
      <c r="C108" s="6" t="b">
        <v>0</v>
      </c>
      <c r="D108" s="6" t="s">
        <v>514</v>
      </c>
      <c r="E108" s="6" t="s">
        <v>498</v>
      </c>
      <c r="F108" s="6" t="s">
        <v>499</v>
      </c>
      <c r="G108" s="6" t="s">
        <v>500</v>
      </c>
      <c r="H108" s="6" t="s">
        <v>501</v>
      </c>
      <c r="I108" s="6">
        <v>29.911000000000001</v>
      </c>
      <c r="J108" s="6">
        <v>29.765000000000001</v>
      </c>
      <c r="K108" s="6">
        <v>0.126</v>
      </c>
      <c r="S108" s="6" t="b">
        <v>1</v>
      </c>
      <c r="T108" s="6">
        <v>0.20699999999999999</v>
      </c>
      <c r="U108" s="6" t="b">
        <v>1</v>
      </c>
      <c r="V108" s="6">
        <v>3</v>
      </c>
      <c r="W108" s="6">
        <v>25</v>
      </c>
      <c r="X108" s="6" t="s">
        <v>502</v>
      </c>
      <c r="Z108" s="6">
        <v>0.95299999999999996</v>
      </c>
      <c r="AA108" s="6" t="s">
        <v>503</v>
      </c>
      <c r="AB108" s="6" t="s">
        <v>503</v>
      </c>
      <c r="AC108" s="6" t="s">
        <v>503</v>
      </c>
    </row>
    <row r="109" spans="1:29">
      <c r="A109" s="6">
        <v>34</v>
      </c>
      <c r="B109" s="6" t="s">
        <v>62</v>
      </c>
      <c r="C109" s="6" t="b">
        <v>0</v>
      </c>
      <c r="D109" s="6" t="s">
        <v>514</v>
      </c>
      <c r="E109" s="6" t="s">
        <v>504</v>
      </c>
      <c r="F109" s="6" t="s">
        <v>499</v>
      </c>
      <c r="G109" s="6" t="s">
        <v>505</v>
      </c>
      <c r="H109" s="6" t="s">
        <v>501</v>
      </c>
      <c r="I109" s="6">
        <v>18.989999999999998</v>
      </c>
      <c r="J109" s="6">
        <v>18.981999999999999</v>
      </c>
      <c r="K109" s="6">
        <v>1.0999999999999999E-2</v>
      </c>
      <c r="S109" s="6" t="b">
        <v>1</v>
      </c>
      <c r="T109" s="6">
        <v>0.16400000000000001</v>
      </c>
      <c r="U109" s="6" t="b">
        <v>1</v>
      </c>
      <c r="V109" s="6">
        <v>3</v>
      </c>
      <c r="W109" s="6">
        <v>14</v>
      </c>
      <c r="X109" s="6" t="s">
        <v>502</v>
      </c>
      <c r="Z109" s="6">
        <v>0.96499999999999997</v>
      </c>
      <c r="AA109" s="6" t="s">
        <v>503</v>
      </c>
      <c r="AB109" s="6" t="s">
        <v>503</v>
      </c>
      <c r="AC109" s="6" t="s">
        <v>503</v>
      </c>
    </row>
    <row r="110" spans="1:29">
      <c r="A110" s="6">
        <v>35</v>
      </c>
      <c r="B110" s="6" t="s">
        <v>63</v>
      </c>
      <c r="C110" s="6" t="b">
        <v>0</v>
      </c>
      <c r="D110" s="6" t="s">
        <v>514</v>
      </c>
      <c r="E110" s="6" t="s">
        <v>498</v>
      </c>
      <c r="F110" s="6" t="s">
        <v>499</v>
      </c>
      <c r="G110" s="6" t="s">
        <v>500</v>
      </c>
      <c r="H110" s="6" t="s">
        <v>501</v>
      </c>
      <c r="I110" s="6">
        <v>29.696999999999999</v>
      </c>
      <c r="J110" s="6">
        <v>29.765000000000001</v>
      </c>
      <c r="K110" s="6">
        <v>0.126</v>
      </c>
      <c r="S110" s="6" t="b">
        <v>1</v>
      </c>
      <c r="T110" s="6">
        <v>0.20699999999999999</v>
      </c>
      <c r="U110" s="6" t="b">
        <v>1</v>
      </c>
      <c r="V110" s="6">
        <v>3</v>
      </c>
      <c r="W110" s="6">
        <v>25</v>
      </c>
      <c r="X110" s="6" t="s">
        <v>502</v>
      </c>
      <c r="Z110" s="6">
        <v>0.95399999999999996</v>
      </c>
      <c r="AA110" s="6" t="s">
        <v>503</v>
      </c>
      <c r="AB110" s="6" t="s">
        <v>503</v>
      </c>
      <c r="AC110" s="6" t="s">
        <v>503</v>
      </c>
    </row>
    <row r="111" spans="1:29">
      <c r="A111" s="6">
        <v>35</v>
      </c>
      <c r="B111" s="6" t="s">
        <v>63</v>
      </c>
      <c r="C111" s="6" t="b">
        <v>0</v>
      </c>
      <c r="D111" s="6" t="s">
        <v>514</v>
      </c>
      <c r="E111" s="6" t="s">
        <v>504</v>
      </c>
      <c r="F111" s="6" t="s">
        <v>499</v>
      </c>
      <c r="G111" s="6" t="s">
        <v>505</v>
      </c>
      <c r="H111" s="6" t="s">
        <v>501</v>
      </c>
      <c r="I111" s="6">
        <v>18.988</v>
      </c>
      <c r="J111" s="6">
        <v>18.981999999999999</v>
      </c>
      <c r="K111" s="6">
        <v>1.0999999999999999E-2</v>
      </c>
      <c r="S111" s="6" t="b">
        <v>1</v>
      </c>
      <c r="T111" s="6">
        <v>0.16400000000000001</v>
      </c>
      <c r="U111" s="6" t="b">
        <v>1</v>
      </c>
      <c r="V111" s="6">
        <v>3</v>
      </c>
      <c r="W111" s="6">
        <v>14</v>
      </c>
      <c r="X111" s="6" t="s">
        <v>502</v>
      </c>
      <c r="Z111" s="6">
        <v>0.96399999999999997</v>
      </c>
      <c r="AA111" s="6" t="s">
        <v>503</v>
      </c>
      <c r="AB111" s="6" t="s">
        <v>503</v>
      </c>
      <c r="AC111" s="6" t="s">
        <v>503</v>
      </c>
    </row>
    <row r="112" spans="1:29">
      <c r="A112" s="6">
        <v>36</v>
      </c>
      <c r="B112" s="6" t="s">
        <v>64</v>
      </c>
      <c r="C112" s="6" t="b">
        <v>0</v>
      </c>
      <c r="D112" s="6" t="s">
        <v>514</v>
      </c>
      <c r="E112" s="6" t="s">
        <v>498</v>
      </c>
      <c r="F112" s="6" t="s">
        <v>499</v>
      </c>
      <c r="G112" s="6" t="s">
        <v>500</v>
      </c>
      <c r="H112" s="6" t="s">
        <v>501</v>
      </c>
      <c r="I112" s="6">
        <v>29.687999999999999</v>
      </c>
      <c r="J112" s="6">
        <v>29.765000000000001</v>
      </c>
      <c r="K112" s="6">
        <v>0.126</v>
      </c>
      <c r="S112" s="6" t="b">
        <v>1</v>
      </c>
      <c r="T112" s="6">
        <v>0.20699999999999999</v>
      </c>
      <c r="U112" s="6" t="b">
        <v>1</v>
      </c>
      <c r="V112" s="6">
        <v>3</v>
      </c>
      <c r="W112" s="6">
        <v>25</v>
      </c>
      <c r="X112" s="6" t="s">
        <v>502</v>
      </c>
      <c r="Z112" s="6">
        <v>0.95499999999999996</v>
      </c>
      <c r="AA112" s="6" t="s">
        <v>503</v>
      </c>
      <c r="AB112" s="6" t="s">
        <v>503</v>
      </c>
      <c r="AC112" s="6" t="s">
        <v>503</v>
      </c>
    </row>
    <row r="113" spans="1:29">
      <c r="A113" s="6">
        <v>36</v>
      </c>
      <c r="B113" s="6" t="s">
        <v>64</v>
      </c>
      <c r="C113" s="6" t="b">
        <v>0</v>
      </c>
      <c r="D113" s="6" t="s">
        <v>514</v>
      </c>
      <c r="E113" s="6" t="s">
        <v>504</v>
      </c>
      <c r="F113" s="6" t="s">
        <v>499</v>
      </c>
      <c r="G113" s="6" t="s">
        <v>505</v>
      </c>
      <c r="H113" s="6" t="s">
        <v>501</v>
      </c>
      <c r="I113" s="6">
        <v>18.97</v>
      </c>
      <c r="J113" s="6">
        <v>18.981999999999999</v>
      </c>
      <c r="K113" s="6">
        <v>1.0999999999999999E-2</v>
      </c>
      <c r="S113" s="6" t="b">
        <v>1</v>
      </c>
      <c r="T113" s="6">
        <v>0.16400000000000001</v>
      </c>
      <c r="U113" s="6" t="b">
        <v>1</v>
      </c>
      <c r="V113" s="6">
        <v>3</v>
      </c>
      <c r="W113" s="6">
        <v>14</v>
      </c>
      <c r="X113" s="6" t="s">
        <v>502</v>
      </c>
      <c r="Z113" s="6">
        <v>0.96799999999999997</v>
      </c>
      <c r="AA113" s="6" t="s">
        <v>503</v>
      </c>
      <c r="AB113" s="6" t="s">
        <v>503</v>
      </c>
      <c r="AC113" s="6" t="s">
        <v>503</v>
      </c>
    </row>
    <row r="114" spans="1:29">
      <c r="A114" s="6">
        <v>37</v>
      </c>
      <c r="B114" s="6" t="s">
        <v>250</v>
      </c>
      <c r="C114" s="6" t="b">
        <v>0</v>
      </c>
      <c r="D114" s="6" t="s">
        <v>228</v>
      </c>
      <c r="E114" s="6" t="s">
        <v>498</v>
      </c>
      <c r="F114" s="6" t="s">
        <v>499</v>
      </c>
      <c r="G114" s="6" t="s">
        <v>500</v>
      </c>
      <c r="H114" s="6" t="s">
        <v>501</v>
      </c>
      <c r="I114" s="6">
        <v>28.527000000000001</v>
      </c>
      <c r="J114" s="6">
        <v>28.544</v>
      </c>
      <c r="K114" s="6">
        <v>0.114</v>
      </c>
      <c r="S114" s="6" t="b">
        <v>1</v>
      </c>
      <c r="T114" s="6">
        <v>0.20699999999999999</v>
      </c>
      <c r="U114" s="6" t="b">
        <v>1</v>
      </c>
      <c r="V114" s="6">
        <v>3</v>
      </c>
      <c r="W114" s="6">
        <v>24</v>
      </c>
      <c r="X114" s="6" t="s">
        <v>502</v>
      </c>
      <c r="Z114" s="6">
        <v>0.95299999999999996</v>
      </c>
      <c r="AA114" s="6" t="s">
        <v>503</v>
      </c>
      <c r="AB114" s="6" t="s">
        <v>503</v>
      </c>
      <c r="AC114" s="6" t="s">
        <v>503</v>
      </c>
    </row>
    <row r="115" spans="1:29">
      <c r="A115" s="6">
        <v>37</v>
      </c>
      <c r="B115" s="6" t="s">
        <v>250</v>
      </c>
      <c r="C115" s="6" t="b">
        <v>0</v>
      </c>
      <c r="D115" s="6" t="s">
        <v>228</v>
      </c>
      <c r="E115" s="6" t="s">
        <v>504</v>
      </c>
      <c r="F115" s="6" t="s">
        <v>499</v>
      </c>
      <c r="G115" s="6" t="s">
        <v>505</v>
      </c>
      <c r="H115" s="6" t="s">
        <v>501</v>
      </c>
      <c r="I115" s="6">
        <v>22.983000000000001</v>
      </c>
      <c r="J115" s="6">
        <v>22.934999999999999</v>
      </c>
      <c r="K115" s="6">
        <v>0.08</v>
      </c>
      <c r="S115" s="6" t="b">
        <v>1</v>
      </c>
      <c r="T115" s="6">
        <v>0.16400000000000001</v>
      </c>
      <c r="U115" s="6" t="b">
        <v>1</v>
      </c>
      <c r="V115" s="6">
        <v>3</v>
      </c>
      <c r="W115" s="6">
        <v>18</v>
      </c>
      <c r="X115" s="6" t="s">
        <v>502</v>
      </c>
      <c r="Z115" s="6">
        <v>0.96499999999999997</v>
      </c>
      <c r="AA115" s="6" t="s">
        <v>503</v>
      </c>
      <c r="AB115" s="6" t="s">
        <v>503</v>
      </c>
      <c r="AC115" s="6" t="s">
        <v>503</v>
      </c>
    </row>
    <row r="116" spans="1:29">
      <c r="A116" s="6">
        <v>38</v>
      </c>
      <c r="B116" s="6" t="s">
        <v>251</v>
      </c>
      <c r="C116" s="6" t="b">
        <v>0</v>
      </c>
      <c r="D116" s="6" t="s">
        <v>228</v>
      </c>
      <c r="E116" s="6" t="s">
        <v>498</v>
      </c>
      <c r="F116" s="6" t="s">
        <v>499</v>
      </c>
      <c r="G116" s="6" t="s">
        <v>500</v>
      </c>
      <c r="H116" s="6" t="s">
        <v>501</v>
      </c>
      <c r="I116" s="6">
        <v>28.664999999999999</v>
      </c>
      <c r="J116" s="6">
        <v>28.544</v>
      </c>
      <c r="K116" s="6">
        <v>0.114</v>
      </c>
      <c r="S116" s="6" t="b">
        <v>1</v>
      </c>
      <c r="T116" s="6">
        <v>0.20699999999999999</v>
      </c>
      <c r="U116" s="6" t="b">
        <v>1</v>
      </c>
      <c r="V116" s="6">
        <v>3</v>
      </c>
      <c r="W116" s="6">
        <v>24</v>
      </c>
      <c r="X116" s="6" t="s">
        <v>502</v>
      </c>
      <c r="Z116" s="6">
        <v>0.94399999999999995</v>
      </c>
      <c r="AA116" s="6" t="s">
        <v>503</v>
      </c>
      <c r="AB116" s="6" t="s">
        <v>503</v>
      </c>
      <c r="AC116" s="6" t="s">
        <v>503</v>
      </c>
    </row>
    <row r="117" spans="1:29">
      <c r="A117" s="6">
        <v>38</v>
      </c>
      <c r="B117" s="6" t="s">
        <v>251</v>
      </c>
      <c r="C117" s="6" t="b">
        <v>0</v>
      </c>
      <c r="D117" s="6" t="s">
        <v>228</v>
      </c>
      <c r="E117" s="6" t="s">
        <v>504</v>
      </c>
      <c r="F117" s="6" t="s">
        <v>499</v>
      </c>
      <c r="G117" s="6" t="s">
        <v>505</v>
      </c>
      <c r="H117" s="6" t="s">
        <v>501</v>
      </c>
      <c r="I117" s="6">
        <v>22.978999999999999</v>
      </c>
      <c r="J117" s="6">
        <v>22.934999999999999</v>
      </c>
      <c r="K117" s="6">
        <v>0.08</v>
      </c>
      <c r="S117" s="6" t="b">
        <v>1</v>
      </c>
      <c r="T117" s="6">
        <v>0.16400000000000001</v>
      </c>
      <c r="U117" s="6" t="b">
        <v>1</v>
      </c>
      <c r="V117" s="6">
        <v>3</v>
      </c>
      <c r="W117" s="6">
        <v>18</v>
      </c>
      <c r="X117" s="6" t="s">
        <v>502</v>
      </c>
      <c r="Z117" s="6">
        <v>0.96299999999999997</v>
      </c>
      <c r="AA117" s="6" t="s">
        <v>503</v>
      </c>
      <c r="AB117" s="6" t="s">
        <v>503</v>
      </c>
      <c r="AC117" s="6" t="s">
        <v>503</v>
      </c>
    </row>
    <row r="118" spans="1:29">
      <c r="A118" s="6">
        <v>39</v>
      </c>
      <c r="B118" s="6" t="s">
        <v>252</v>
      </c>
      <c r="C118" s="6" t="b">
        <v>0</v>
      </c>
      <c r="D118" s="6" t="s">
        <v>228</v>
      </c>
      <c r="E118" s="6" t="s">
        <v>498</v>
      </c>
      <c r="F118" s="6" t="s">
        <v>499</v>
      </c>
      <c r="G118" s="6" t="s">
        <v>500</v>
      </c>
      <c r="H118" s="6" t="s">
        <v>501</v>
      </c>
      <c r="I118" s="6">
        <v>28.44</v>
      </c>
      <c r="J118" s="6">
        <v>28.544</v>
      </c>
      <c r="K118" s="6">
        <v>0.114</v>
      </c>
      <c r="S118" s="6" t="b">
        <v>1</v>
      </c>
      <c r="T118" s="6">
        <v>0.20699999999999999</v>
      </c>
      <c r="U118" s="6" t="b">
        <v>1</v>
      </c>
      <c r="V118" s="6">
        <v>3</v>
      </c>
      <c r="W118" s="6">
        <v>24</v>
      </c>
      <c r="X118" s="6" t="s">
        <v>502</v>
      </c>
      <c r="Z118" s="6">
        <v>0.94699999999999995</v>
      </c>
      <c r="AA118" s="6" t="s">
        <v>503</v>
      </c>
      <c r="AB118" s="6" t="s">
        <v>503</v>
      </c>
      <c r="AC118" s="6" t="s">
        <v>503</v>
      </c>
    </row>
    <row r="119" spans="1:29">
      <c r="A119" s="6">
        <v>39</v>
      </c>
      <c r="B119" s="6" t="s">
        <v>252</v>
      </c>
      <c r="C119" s="6" t="b">
        <v>0</v>
      </c>
      <c r="D119" s="6" t="s">
        <v>228</v>
      </c>
      <c r="E119" s="6" t="s">
        <v>504</v>
      </c>
      <c r="F119" s="6" t="s">
        <v>499</v>
      </c>
      <c r="G119" s="6" t="s">
        <v>505</v>
      </c>
      <c r="H119" s="6" t="s">
        <v>501</v>
      </c>
      <c r="I119" s="6">
        <v>22.843</v>
      </c>
      <c r="J119" s="6">
        <v>22.934999999999999</v>
      </c>
      <c r="K119" s="6">
        <v>0.08</v>
      </c>
      <c r="S119" s="6" t="b">
        <v>1</v>
      </c>
      <c r="T119" s="6">
        <v>0.16400000000000001</v>
      </c>
      <c r="U119" s="6" t="b">
        <v>1</v>
      </c>
      <c r="V119" s="6">
        <v>3</v>
      </c>
      <c r="W119" s="6">
        <v>17</v>
      </c>
      <c r="X119" s="6" t="s">
        <v>502</v>
      </c>
      <c r="Z119" s="6">
        <v>0.96199999999999997</v>
      </c>
      <c r="AA119" s="6" t="s">
        <v>503</v>
      </c>
      <c r="AB119" s="6" t="s">
        <v>503</v>
      </c>
      <c r="AC119" s="6" t="s">
        <v>503</v>
      </c>
    </row>
    <row r="120" spans="1:29">
      <c r="A120" s="6">
        <v>40</v>
      </c>
      <c r="B120" s="6" t="s">
        <v>65</v>
      </c>
      <c r="C120" s="6" t="b">
        <v>0</v>
      </c>
      <c r="D120" s="6" t="s">
        <v>515</v>
      </c>
      <c r="E120" s="6" t="s">
        <v>498</v>
      </c>
      <c r="F120" s="6" t="s">
        <v>499</v>
      </c>
      <c r="G120" s="6" t="s">
        <v>500</v>
      </c>
      <c r="H120" s="6" t="s">
        <v>501</v>
      </c>
      <c r="I120" s="6">
        <v>29.895</v>
      </c>
      <c r="J120" s="6">
        <v>29.844000000000001</v>
      </c>
      <c r="K120" s="6">
        <v>0.13200000000000001</v>
      </c>
      <c r="S120" s="6" t="b">
        <v>1</v>
      </c>
      <c r="T120" s="6">
        <v>0.20699999999999999</v>
      </c>
      <c r="U120" s="6" t="b">
        <v>1</v>
      </c>
      <c r="V120" s="6">
        <v>3</v>
      </c>
      <c r="W120" s="6">
        <v>25</v>
      </c>
      <c r="X120" s="6" t="s">
        <v>502</v>
      </c>
      <c r="Z120" s="6">
        <v>0.95099999999999996</v>
      </c>
      <c r="AA120" s="6" t="s">
        <v>503</v>
      </c>
      <c r="AB120" s="6" t="s">
        <v>503</v>
      </c>
      <c r="AC120" s="6" t="s">
        <v>503</v>
      </c>
    </row>
    <row r="121" spans="1:29">
      <c r="A121" s="6">
        <v>40</v>
      </c>
      <c r="B121" s="6" t="s">
        <v>65</v>
      </c>
      <c r="C121" s="6" t="b">
        <v>0</v>
      </c>
      <c r="D121" s="6" t="s">
        <v>515</v>
      </c>
      <c r="E121" s="6" t="s">
        <v>504</v>
      </c>
      <c r="F121" s="6" t="s">
        <v>499</v>
      </c>
      <c r="G121" s="6" t="s">
        <v>505</v>
      </c>
      <c r="H121" s="6" t="s">
        <v>501</v>
      </c>
      <c r="I121" s="6">
        <v>19.100999999999999</v>
      </c>
      <c r="J121" s="6">
        <v>19.065000000000001</v>
      </c>
      <c r="K121" s="6">
        <v>8.5000000000000006E-2</v>
      </c>
      <c r="S121" s="6" t="b">
        <v>1</v>
      </c>
      <c r="T121" s="6">
        <v>0.16400000000000001</v>
      </c>
      <c r="U121" s="6" t="b">
        <v>1</v>
      </c>
      <c r="V121" s="6">
        <v>3</v>
      </c>
      <c r="W121" s="6">
        <v>14</v>
      </c>
      <c r="X121" s="6" t="s">
        <v>502</v>
      </c>
      <c r="Z121" s="6">
        <v>0.95899999999999996</v>
      </c>
      <c r="AA121" s="6" t="s">
        <v>503</v>
      </c>
      <c r="AB121" s="6" t="s">
        <v>503</v>
      </c>
      <c r="AC121" s="6" t="s">
        <v>503</v>
      </c>
    </row>
    <row r="122" spans="1:29">
      <c r="A122" s="6">
        <v>41</v>
      </c>
      <c r="B122" s="6" t="s">
        <v>66</v>
      </c>
      <c r="C122" s="6" t="b">
        <v>0</v>
      </c>
      <c r="D122" s="6" t="s">
        <v>515</v>
      </c>
      <c r="E122" s="6" t="s">
        <v>498</v>
      </c>
      <c r="F122" s="6" t="s">
        <v>499</v>
      </c>
      <c r="G122" s="6" t="s">
        <v>500</v>
      </c>
      <c r="H122" s="6" t="s">
        <v>501</v>
      </c>
      <c r="I122" s="6">
        <v>29.943000000000001</v>
      </c>
      <c r="J122" s="6">
        <v>29.844000000000001</v>
      </c>
      <c r="K122" s="6">
        <v>0.13200000000000001</v>
      </c>
      <c r="S122" s="6" t="b">
        <v>1</v>
      </c>
      <c r="T122" s="6">
        <v>0.20699999999999999</v>
      </c>
      <c r="U122" s="6" t="b">
        <v>1</v>
      </c>
      <c r="V122" s="6">
        <v>3</v>
      </c>
      <c r="W122" s="6">
        <v>25</v>
      </c>
      <c r="X122" s="6" t="s">
        <v>502</v>
      </c>
      <c r="Z122" s="6">
        <v>0.95299999999999996</v>
      </c>
      <c r="AA122" s="6" t="s">
        <v>503</v>
      </c>
      <c r="AB122" s="6" t="s">
        <v>503</v>
      </c>
      <c r="AC122" s="6" t="s">
        <v>503</v>
      </c>
    </row>
    <row r="123" spans="1:29">
      <c r="A123" s="6">
        <v>41</v>
      </c>
      <c r="B123" s="6" t="s">
        <v>66</v>
      </c>
      <c r="C123" s="6" t="b">
        <v>0</v>
      </c>
      <c r="D123" s="6" t="s">
        <v>515</v>
      </c>
      <c r="E123" s="6" t="s">
        <v>504</v>
      </c>
      <c r="F123" s="6" t="s">
        <v>499</v>
      </c>
      <c r="G123" s="6" t="s">
        <v>505</v>
      </c>
      <c r="H123" s="6" t="s">
        <v>501</v>
      </c>
      <c r="I123" s="6">
        <v>19.126999999999999</v>
      </c>
      <c r="J123" s="6">
        <v>19.065000000000001</v>
      </c>
      <c r="K123" s="6">
        <v>8.5000000000000006E-2</v>
      </c>
      <c r="S123" s="6" t="b">
        <v>1</v>
      </c>
      <c r="T123" s="6">
        <v>0.16400000000000001</v>
      </c>
      <c r="U123" s="6" t="b">
        <v>1</v>
      </c>
      <c r="V123" s="6">
        <v>3</v>
      </c>
      <c r="W123" s="6">
        <v>14</v>
      </c>
      <c r="X123" s="6" t="s">
        <v>502</v>
      </c>
      <c r="Z123" s="6">
        <v>0.96399999999999997</v>
      </c>
      <c r="AA123" s="6" t="s">
        <v>503</v>
      </c>
      <c r="AB123" s="6" t="s">
        <v>503</v>
      </c>
      <c r="AC123" s="6" t="s">
        <v>503</v>
      </c>
    </row>
    <row r="124" spans="1:29">
      <c r="A124" s="6">
        <v>42</v>
      </c>
      <c r="B124" s="6" t="s">
        <v>67</v>
      </c>
      <c r="C124" s="6" t="b">
        <v>0</v>
      </c>
      <c r="D124" s="6" t="s">
        <v>515</v>
      </c>
      <c r="E124" s="6" t="s">
        <v>498</v>
      </c>
      <c r="F124" s="6" t="s">
        <v>499</v>
      </c>
      <c r="G124" s="6" t="s">
        <v>500</v>
      </c>
      <c r="H124" s="6" t="s">
        <v>501</v>
      </c>
      <c r="I124" s="6">
        <v>29.695</v>
      </c>
      <c r="J124" s="6">
        <v>29.844000000000001</v>
      </c>
      <c r="K124" s="6">
        <v>0.13200000000000001</v>
      </c>
      <c r="S124" s="6" t="b">
        <v>1</v>
      </c>
      <c r="T124" s="6">
        <v>0.20699999999999999</v>
      </c>
      <c r="U124" s="6" t="b">
        <v>1</v>
      </c>
      <c r="V124" s="6">
        <v>3</v>
      </c>
      <c r="W124" s="6">
        <v>25</v>
      </c>
      <c r="X124" s="6" t="s">
        <v>502</v>
      </c>
      <c r="Z124" s="6">
        <v>0.95099999999999996</v>
      </c>
      <c r="AA124" s="6" t="s">
        <v>503</v>
      </c>
      <c r="AB124" s="6" t="s">
        <v>503</v>
      </c>
      <c r="AC124" s="6" t="s">
        <v>503</v>
      </c>
    </row>
    <row r="125" spans="1:29">
      <c r="A125" s="6">
        <v>42</v>
      </c>
      <c r="B125" s="6" t="s">
        <v>67</v>
      </c>
      <c r="C125" s="6" t="b">
        <v>0</v>
      </c>
      <c r="D125" s="6" t="s">
        <v>515</v>
      </c>
      <c r="E125" s="6" t="s">
        <v>504</v>
      </c>
      <c r="F125" s="6" t="s">
        <v>499</v>
      </c>
      <c r="G125" s="6" t="s">
        <v>505</v>
      </c>
      <c r="H125" s="6" t="s">
        <v>501</v>
      </c>
      <c r="I125" s="6">
        <v>18.968</v>
      </c>
      <c r="J125" s="6">
        <v>19.065000000000001</v>
      </c>
      <c r="K125" s="6">
        <v>8.5000000000000006E-2</v>
      </c>
      <c r="S125" s="6" t="b">
        <v>1</v>
      </c>
      <c r="T125" s="6">
        <v>0.16400000000000001</v>
      </c>
      <c r="U125" s="6" t="b">
        <v>1</v>
      </c>
      <c r="V125" s="6">
        <v>3</v>
      </c>
      <c r="W125" s="6">
        <v>14</v>
      </c>
      <c r="X125" s="6" t="s">
        <v>502</v>
      </c>
      <c r="Z125" s="6">
        <v>0.96</v>
      </c>
      <c r="AA125" s="6" t="s">
        <v>503</v>
      </c>
      <c r="AB125" s="6" t="s">
        <v>503</v>
      </c>
      <c r="AC125" s="6" t="s">
        <v>503</v>
      </c>
    </row>
    <row r="126" spans="1:29">
      <c r="A126" s="6">
        <v>43</v>
      </c>
      <c r="B126" s="6" t="s">
        <v>68</v>
      </c>
      <c r="C126" s="6" t="b">
        <v>0</v>
      </c>
      <c r="D126" s="6" t="s">
        <v>516</v>
      </c>
      <c r="E126" s="6" t="s">
        <v>498</v>
      </c>
      <c r="F126" s="6" t="s">
        <v>499</v>
      </c>
      <c r="G126" s="6" t="s">
        <v>500</v>
      </c>
      <c r="H126" s="6" t="s">
        <v>501</v>
      </c>
      <c r="I126" s="6">
        <v>28.913</v>
      </c>
      <c r="J126" s="6">
        <v>28.951000000000001</v>
      </c>
      <c r="K126" s="6">
        <v>6.6000000000000003E-2</v>
      </c>
      <c r="S126" s="6" t="b">
        <v>1</v>
      </c>
      <c r="T126" s="6">
        <v>0.20699999999999999</v>
      </c>
      <c r="U126" s="6" t="b">
        <v>1</v>
      </c>
      <c r="V126" s="6">
        <v>3</v>
      </c>
      <c r="W126" s="6">
        <v>24</v>
      </c>
      <c r="X126" s="6" t="s">
        <v>502</v>
      </c>
      <c r="Z126" s="6">
        <v>0.96</v>
      </c>
      <c r="AA126" s="6" t="s">
        <v>503</v>
      </c>
      <c r="AB126" s="6" t="s">
        <v>503</v>
      </c>
      <c r="AC126" s="6" t="s">
        <v>503</v>
      </c>
    </row>
    <row r="127" spans="1:29">
      <c r="A127" s="6">
        <v>43</v>
      </c>
      <c r="B127" s="6" t="s">
        <v>68</v>
      </c>
      <c r="C127" s="6" t="b">
        <v>0</v>
      </c>
      <c r="D127" s="6" t="s">
        <v>516</v>
      </c>
      <c r="E127" s="6" t="s">
        <v>504</v>
      </c>
      <c r="F127" s="6" t="s">
        <v>499</v>
      </c>
      <c r="G127" s="6" t="s">
        <v>505</v>
      </c>
      <c r="H127" s="6" t="s">
        <v>501</v>
      </c>
      <c r="I127" s="6">
        <v>15.842000000000001</v>
      </c>
      <c r="J127" s="6">
        <v>15.949</v>
      </c>
      <c r="K127" s="6">
        <v>9.8000000000000004E-2</v>
      </c>
      <c r="S127" s="6" t="b">
        <v>1</v>
      </c>
      <c r="T127" s="6">
        <v>0.16400000000000001</v>
      </c>
      <c r="U127" s="6" t="b">
        <v>1</v>
      </c>
      <c r="V127" s="6">
        <v>3</v>
      </c>
      <c r="W127" s="6">
        <v>10</v>
      </c>
      <c r="X127" s="6" t="s">
        <v>502</v>
      </c>
      <c r="Z127" s="6">
        <v>0.96499999999999997</v>
      </c>
      <c r="AA127" s="6" t="s">
        <v>503</v>
      </c>
      <c r="AB127" s="6" t="s">
        <v>503</v>
      </c>
      <c r="AC127" s="6" t="s">
        <v>503</v>
      </c>
    </row>
    <row r="128" spans="1:29">
      <c r="A128" s="6">
        <v>44</v>
      </c>
      <c r="B128" s="6" t="s">
        <v>69</v>
      </c>
      <c r="C128" s="6" t="b">
        <v>0</v>
      </c>
      <c r="D128" s="6" t="s">
        <v>516</v>
      </c>
      <c r="E128" s="6" t="s">
        <v>498</v>
      </c>
      <c r="F128" s="6" t="s">
        <v>499</v>
      </c>
      <c r="G128" s="6" t="s">
        <v>500</v>
      </c>
      <c r="H128" s="6" t="s">
        <v>501</v>
      </c>
      <c r="I128" s="6">
        <v>28.911999999999999</v>
      </c>
      <c r="J128" s="6">
        <v>28.951000000000001</v>
      </c>
      <c r="K128" s="6">
        <v>6.6000000000000003E-2</v>
      </c>
      <c r="S128" s="6" t="b">
        <v>1</v>
      </c>
      <c r="T128" s="6">
        <v>0.20699999999999999</v>
      </c>
      <c r="U128" s="6" t="b">
        <v>1</v>
      </c>
      <c r="V128" s="6">
        <v>3</v>
      </c>
      <c r="W128" s="6">
        <v>24</v>
      </c>
      <c r="X128" s="6" t="s">
        <v>502</v>
      </c>
      <c r="Z128" s="6">
        <v>0.96099999999999997</v>
      </c>
      <c r="AA128" s="6" t="s">
        <v>503</v>
      </c>
      <c r="AB128" s="6" t="s">
        <v>503</v>
      </c>
      <c r="AC128" s="6" t="s">
        <v>503</v>
      </c>
    </row>
    <row r="129" spans="1:29">
      <c r="A129" s="6">
        <v>44</v>
      </c>
      <c r="B129" s="6" t="s">
        <v>69</v>
      </c>
      <c r="C129" s="6" t="b">
        <v>0</v>
      </c>
      <c r="D129" s="6" t="s">
        <v>516</v>
      </c>
      <c r="E129" s="6" t="s">
        <v>504</v>
      </c>
      <c r="F129" s="6" t="s">
        <v>499</v>
      </c>
      <c r="G129" s="6" t="s">
        <v>505</v>
      </c>
      <c r="H129" s="6" t="s">
        <v>501</v>
      </c>
      <c r="I129" s="6">
        <v>15.973000000000001</v>
      </c>
      <c r="J129" s="6">
        <v>15.949</v>
      </c>
      <c r="K129" s="6">
        <v>9.8000000000000004E-2</v>
      </c>
      <c r="S129" s="6" t="b">
        <v>1</v>
      </c>
      <c r="T129" s="6">
        <v>0.16400000000000001</v>
      </c>
      <c r="U129" s="6" t="b">
        <v>1</v>
      </c>
      <c r="V129" s="6">
        <v>3</v>
      </c>
      <c r="W129" s="6">
        <v>11</v>
      </c>
      <c r="X129" s="6" t="s">
        <v>502</v>
      </c>
      <c r="Z129" s="6">
        <v>0.96299999999999997</v>
      </c>
      <c r="AA129" s="6" t="s">
        <v>503</v>
      </c>
      <c r="AB129" s="6" t="s">
        <v>503</v>
      </c>
      <c r="AC129" s="6" t="s">
        <v>503</v>
      </c>
    </row>
    <row r="130" spans="1:29">
      <c r="A130" s="6">
        <v>45</v>
      </c>
      <c r="B130" s="6" t="s">
        <v>70</v>
      </c>
      <c r="C130" s="6" t="b">
        <v>0</v>
      </c>
      <c r="D130" s="6" t="s">
        <v>516</v>
      </c>
      <c r="E130" s="6" t="s">
        <v>498</v>
      </c>
      <c r="F130" s="6" t="s">
        <v>499</v>
      </c>
      <c r="G130" s="6" t="s">
        <v>500</v>
      </c>
      <c r="H130" s="6" t="s">
        <v>501</v>
      </c>
      <c r="I130" s="6">
        <v>29.027000000000001</v>
      </c>
      <c r="J130" s="6">
        <v>28.951000000000001</v>
      </c>
      <c r="K130" s="6">
        <v>6.6000000000000003E-2</v>
      </c>
      <c r="S130" s="6" t="b">
        <v>1</v>
      </c>
      <c r="T130" s="6">
        <v>0.20699999999999999</v>
      </c>
      <c r="U130" s="6" t="b">
        <v>1</v>
      </c>
      <c r="V130" s="6">
        <v>3</v>
      </c>
      <c r="W130" s="6">
        <v>24</v>
      </c>
      <c r="X130" s="6" t="s">
        <v>502</v>
      </c>
      <c r="Z130" s="6">
        <v>0.95699999999999996</v>
      </c>
      <c r="AA130" s="6" t="s">
        <v>503</v>
      </c>
      <c r="AB130" s="6" t="s">
        <v>503</v>
      </c>
      <c r="AC130" s="6" t="s">
        <v>503</v>
      </c>
    </row>
    <row r="131" spans="1:29">
      <c r="A131" s="6">
        <v>45</v>
      </c>
      <c r="B131" s="6" t="s">
        <v>70</v>
      </c>
      <c r="C131" s="6" t="b">
        <v>0</v>
      </c>
      <c r="D131" s="6" t="s">
        <v>516</v>
      </c>
      <c r="E131" s="6" t="s">
        <v>504</v>
      </c>
      <c r="F131" s="6" t="s">
        <v>499</v>
      </c>
      <c r="G131" s="6" t="s">
        <v>505</v>
      </c>
      <c r="H131" s="6" t="s">
        <v>501</v>
      </c>
      <c r="I131" s="6">
        <v>16.033000000000001</v>
      </c>
      <c r="J131" s="6">
        <v>15.949</v>
      </c>
      <c r="K131" s="6">
        <v>9.8000000000000004E-2</v>
      </c>
      <c r="S131" s="6" t="b">
        <v>1</v>
      </c>
      <c r="T131" s="6">
        <v>0.16400000000000001</v>
      </c>
      <c r="U131" s="6" t="b">
        <v>1</v>
      </c>
      <c r="V131" s="6">
        <v>3</v>
      </c>
      <c r="W131" s="6">
        <v>11</v>
      </c>
      <c r="X131" s="6" t="s">
        <v>502</v>
      </c>
      <c r="Z131" s="6">
        <v>0.95799999999999996</v>
      </c>
      <c r="AA131" s="6" t="s">
        <v>503</v>
      </c>
      <c r="AB131" s="6" t="s">
        <v>503</v>
      </c>
      <c r="AC131" s="6" t="s">
        <v>503</v>
      </c>
    </row>
    <row r="132" spans="1:29">
      <c r="A132" s="6">
        <v>46</v>
      </c>
      <c r="B132" s="6" t="s">
        <v>71</v>
      </c>
      <c r="C132" s="6" t="b">
        <v>0</v>
      </c>
      <c r="D132" s="6" t="s">
        <v>517</v>
      </c>
      <c r="E132" s="6" t="s">
        <v>498</v>
      </c>
      <c r="F132" s="6" t="s">
        <v>499</v>
      </c>
      <c r="G132" s="6" t="s">
        <v>500</v>
      </c>
      <c r="H132" s="6" t="s">
        <v>501</v>
      </c>
      <c r="I132" s="6">
        <v>30.241</v>
      </c>
      <c r="J132" s="6">
        <v>30.533000000000001</v>
      </c>
      <c r="K132" s="6">
        <v>0.26900000000000002</v>
      </c>
      <c r="S132" s="6" t="b">
        <v>1</v>
      </c>
      <c r="T132" s="6">
        <v>0.20699999999999999</v>
      </c>
      <c r="U132" s="6" t="b">
        <v>1</v>
      </c>
      <c r="V132" s="6">
        <v>3</v>
      </c>
      <c r="W132" s="6">
        <v>26</v>
      </c>
      <c r="X132" s="6" t="s">
        <v>502</v>
      </c>
      <c r="Z132" s="6">
        <v>0.95199999999999996</v>
      </c>
      <c r="AA132" s="6" t="s">
        <v>503</v>
      </c>
      <c r="AB132" s="6" t="s">
        <v>503</v>
      </c>
      <c r="AC132" s="6" t="s">
        <v>503</v>
      </c>
    </row>
    <row r="133" spans="1:29">
      <c r="A133" s="6">
        <v>46</v>
      </c>
      <c r="B133" s="6" t="s">
        <v>71</v>
      </c>
      <c r="C133" s="6" t="b">
        <v>0</v>
      </c>
      <c r="D133" s="6" t="s">
        <v>517</v>
      </c>
      <c r="E133" s="6" t="s">
        <v>504</v>
      </c>
      <c r="F133" s="6" t="s">
        <v>499</v>
      </c>
      <c r="G133" s="6" t="s">
        <v>505</v>
      </c>
      <c r="H133" s="6" t="s">
        <v>501</v>
      </c>
      <c r="I133" s="6">
        <v>20.684999999999999</v>
      </c>
      <c r="J133" s="6">
        <v>21.274000000000001</v>
      </c>
      <c r="K133" s="6">
        <v>0.56499999999999995</v>
      </c>
      <c r="S133" s="6" t="b">
        <v>1</v>
      </c>
      <c r="T133" s="6">
        <v>0.16400000000000001</v>
      </c>
      <c r="U133" s="6" t="b">
        <v>1</v>
      </c>
      <c r="V133" s="6">
        <v>3</v>
      </c>
      <c r="W133" s="6">
        <v>15</v>
      </c>
      <c r="X133" s="6" t="s">
        <v>502</v>
      </c>
      <c r="Z133" s="6">
        <v>0.96299999999999997</v>
      </c>
      <c r="AA133" s="6" t="s">
        <v>503</v>
      </c>
      <c r="AB133" s="6" t="s">
        <v>503</v>
      </c>
      <c r="AC133" s="6" t="s">
        <v>518</v>
      </c>
    </row>
    <row r="134" spans="1:29">
      <c r="A134" s="6">
        <v>47</v>
      </c>
      <c r="B134" s="6" t="s">
        <v>72</v>
      </c>
      <c r="C134" s="6" t="b">
        <v>0</v>
      </c>
      <c r="D134" s="6" t="s">
        <v>517</v>
      </c>
      <c r="E134" s="6" t="s">
        <v>498</v>
      </c>
      <c r="F134" s="6" t="s">
        <v>499</v>
      </c>
      <c r="G134" s="6" t="s">
        <v>500</v>
      </c>
      <c r="H134" s="6" t="s">
        <v>501</v>
      </c>
      <c r="I134" s="6">
        <v>30.588000000000001</v>
      </c>
      <c r="J134" s="6">
        <v>30.533000000000001</v>
      </c>
      <c r="K134" s="6">
        <v>0.26900000000000002</v>
      </c>
      <c r="S134" s="6" t="b">
        <v>1</v>
      </c>
      <c r="T134" s="6">
        <v>0.20699999999999999</v>
      </c>
      <c r="U134" s="6" t="b">
        <v>1</v>
      </c>
      <c r="V134" s="6">
        <v>3</v>
      </c>
      <c r="W134" s="6">
        <v>26</v>
      </c>
      <c r="X134" s="6" t="s">
        <v>502</v>
      </c>
      <c r="Z134" s="6">
        <v>0.95299999999999996</v>
      </c>
      <c r="AA134" s="6" t="s">
        <v>503</v>
      </c>
      <c r="AB134" s="6" t="s">
        <v>503</v>
      </c>
      <c r="AC134" s="6" t="s">
        <v>503</v>
      </c>
    </row>
    <row r="135" spans="1:29">
      <c r="A135" s="6">
        <v>47</v>
      </c>
      <c r="B135" s="6" t="s">
        <v>72</v>
      </c>
      <c r="C135" s="6" t="b">
        <v>0</v>
      </c>
      <c r="D135" s="6" t="s">
        <v>517</v>
      </c>
      <c r="E135" s="6" t="s">
        <v>504</v>
      </c>
      <c r="F135" s="6" t="s">
        <v>499</v>
      </c>
      <c r="G135" s="6" t="s">
        <v>505</v>
      </c>
      <c r="H135" s="6" t="s">
        <v>501</v>
      </c>
      <c r="I135" s="6">
        <v>21.326000000000001</v>
      </c>
      <c r="J135" s="6">
        <v>21.274000000000001</v>
      </c>
      <c r="K135" s="6">
        <v>0.56499999999999995</v>
      </c>
      <c r="S135" s="6" t="b">
        <v>1</v>
      </c>
      <c r="T135" s="6">
        <v>0.16400000000000001</v>
      </c>
      <c r="U135" s="6" t="b">
        <v>1</v>
      </c>
      <c r="V135" s="6">
        <v>3</v>
      </c>
      <c r="W135" s="6">
        <v>16</v>
      </c>
      <c r="X135" s="6" t="s">
        <v>502</v>
      </c>
      <c r="Z135" s="6">
        <v>0.96499999999999997</v>
      </c>
      <c r="AA135" s="6" t="s">
        <v>503</v>
      </c>
      <c r="AB135" s="6" t="s">
        <v>503</v>
      </c>
      <c r="AC135" s="6" t="s">
        <v>518</v>
      </c>
    </row>
    <row r="136" spans="1:29">
      <c r="A136" s="6">
        <v>48</v>
      </c>
      <c r="B136" s="6" t="s">
        <v>73</v>
      </c>
      <c r="C136" s="6" t="b">
        <v>0</v>
      </c>
      <c r="D136" s="6" t="s">
        <v>517</v>
      </c>
      <c r="E136" s="6" t="s">
        <v>498</v>
      </c>
      <c r="F136" s="6" t="s">
        <v>499</v>
      </c>
      <c r="G136" s="6" t="s">
        <v>500</v>
      </c>
      <c r="H136" s="6" t="s">
        <v>501</v>
      </c>
      <c r="I136" s="6">
        <v>30.771000000000001</v>
      </c>
      <c r="J136" s="6">
        <v>30.533000000000001</v>
      </c>
      <c r="K136" s="6">
        <v>0.26900000000000002</v>
      </c>
      <c r="S136" s="6" t="b">
        <v>1</v>
      </c>
      <c r="T136" s="6">
        <v>0.20699999999999999</v>
      </c>
      <c r="U136" s="6" t="b">
        <v>1</v>
      </c>
      <c r="V136" s="6">
        <v>3</v>
      </c>
      <c r="W136" s="6">
        <v>26</v>
      </c>
      <c r="X136" s="6" t="s">
        <v>502</v>
      </c>
      <c r="Z136" s="6">
        <v>0.95299999999999996</v>
      </c>
      <c r="AA136" s="6" t="s">
        <v>503</v>
      </c>
      <c r="AB136" s="6" t="s">
        <v>503</v>
      </c>
      <c r="AC136" s="6" t="s">
        <v>503</v>
      </c>
    </row>
    <row r="137" spans="1:29">
      <c r="A137" s="6">
        <v>48</v>
      </c>
      <c r="B137" s="6" t="s">
        <v>73</v>
      </c>
      <c r="C137" s="6" t="b">
        <v>0</v>
      </c>
      <c r="D137" s="6" t="s">
        <v>517</v>
      </c>
      <c r="E137" s="6" t="s">
        <v>504</v>
      </c>
      <c r="F137" s="6" t="s">
        <v>499</v>
      </c>
      <c r="G137" s="6" t="s">
        <v>505</v>
      </c>
      <c r="H137" s="6" t="s">
        <v>501</v>
      </c>
      <c r="I137" s="6">
        <v>21.812000000000001</v>
      </c>
      <c r="J137" s="6">
        <v>21.274000000000001</v>
      </c>
      <c r="K137" s="6">
        <v>0.56499999999999995</v>
      </c>
      <c r="S137" s="6" t="b">
        <v>1</v>
      </c>
      <c r="T137" s="6">
        <v>0.16400000000000001</v>
      </c>
      <c r="U137" s="6" t="b">
        <v>1</v>
      </c>
      <c r="V137" s="6">
        <v>3</v>
      </c>
      <c r="W137" s="6">
        <v>17</v>
      </c>
      <c r="X137" s="6" t="s">
        <v>502</v>
      </c>
      <c r="Z137" s="6">
        <v>0.96899999999999997</v>
      </c>
      <c r="AA137" s="6" t="s">
        <v>503</v>
      </c>
      <c r="AB137" s="6" t="s">
        <v>503</v>
      </c>
      <c r="AC137" s="6" t="s">
        <v>518</v>
      </c>
    </row>
    <row r="138" spans="1:29">
      <c r="A138" s="6">
        <v>49</v>
      </c>
      <c r="B138" s="6" t="s">
        <v>253</v>
      </c>
      <c r="C138" s="6" t="b">
        <v>0</v>
      </c>
      <c r="D138" s="6" t="s">
        <v>229</v>
      </c>
      <c r="E138" s="6" t="s">
        <v>498</v>
      </c>
      <c r="F138" s="6" t="s">
        <v>499</v>
      </c>
      <c r="G138" s="6" t="s">
        <v>500</v>
      </c>
      <c r="H138" s="6" t="s">
        <v>501</v>
      </c>
      <c r="I138" s="6">
        <v>30.902000000000001</v>
      </c>
      <c r="J138" s="6">
        <v>30.928999999999998</v>
      </c>
      <c r="K138" s="6">
        <v>2.5999999999999999E-2</v>
      </c>
      <c r="S138" s="6" t="b">
        <v>1</v>
      </c>
      <c r="T138" s="6">
        <v>0.20699999999999999</v>
      </c>
      <c r="U138" s="6" t="b">
        <v>1</v>
      </c>
      <c r="V138" s="6">
        <v>3</v>
      </c>
      <c r="W138" s="6">
        <v>26</v>
      </c>
      <c r="X138" s="6" t="s">
        <v>502</v>
      </c>
      <c r="Z138" s="6">
        <v>0.95699999999999996</v>
      </c>
      <c r="AA138" s="6" t="s">
        <v>503</v>
      </c>
      <c r="AB138" s="6" t="s">
        <v>503</v>
      </c>
      <c r="AC138" s="6" t="s">
        <v>503</v>
      </c>
    </row>
    <row r="139" spans="1:29">
      <c r="A139" s="6">
        <v>49</v>
      </c>
      <c r="B139" s="6" t="s">
        <v>253</v>
      </c>
      <c r="C139" s="6" t="b">
        <v>0</v>
      </c>
      <c r="D139" s="6" t="s">
        <v>229</v>
      </c>
      <c r="E139" s="6" t="s">
        <v>504</v>
      </c>
      <c r="F139" s="6" t="s">
        <v>499</v>
      </c>
      <c r="G139" s="6" t="s">
        <v>505</v>
      </c>
      <c r="H139" s="6" t="s">
        <v>501</v>
      </c>
      <c r="I139" s="6">
        <v>26.128</v>
      </c>
      <c r="J139" s="6">
        <v>26.087</v>
      </c>
      <c r="K139" s="6">
        <v>7.6999999999999999E-2</v>
      </c>
      <c r="S139" s="6" t="b">
        <v>1</v>
      </c>
      <c r="T139" s="6">
        <v>0.16400000000000001</v>
      </c>
      <c r="U139" s="6" t="b">
        <v>1</v>
      </c>
      <c r="V139" s="6">
        <v>3</v>
      </c>
      <c r="W139" s="6">
        <v>21</v>
      </c>
      <c r="X139" s="6" t="s">
        <v>502</v>
      </c>
      <c r="Z139" s="6">
        <v>0.96199999999999997</v>
      </c>
      <c r="AA139" s="6" t="s">
        <v>503</v>
      </c>
      <c r="AB139" s="6" t="s">
        <v>503</v>
      </c>
      <c r="AC139" s="6" t="s">
        <v>503</v>
      </c>
    </row>
    <row r="140" spans="1:29">
      <c r="A140" s="6">
        <v>50</v>
      </c>
      <c r="B140" s="6" t="s">
        <v>254</v>
      </c>
      <c r="C140" s="6" t="b">
        <v>0</v>
      </c>
      <c r="D140" s="6" t="s">
        <v>229</v>
      </c>
      <c r="E140" s="6" t="s">
        <v>498</v>
      </c>
      <c r="F140" s="6" t="s">
        <v>499</v>
      </c>
      <c r="G140" s="6" t="s">
        <v>500</v>
      </c>
      <c r="H140" s="6" t="s">
        <v>501</v>
      </c>
      <c r="I140" s="6">
        <v>30.93</v>
      </c>
      <c r="J140" s="6">
        <v>30.928999999999998</v>
      </c>
      <c r="K140" s="6">
        <v>2.5999999999999999E-2</v>
      </c>
      <c r="S140" s="6" t="b">
        <v>1</v>
      </c>
      <c r="T140" s="6">
        <v>0.20699999999999999</v>
      </c>
      <c r="U140" s="6" t="b">
        <v>1</v>
      </c>
      <c r="V140" s="6">
        <v>3</v>
      </c>
      <c r="W140" s="6">
        <v>26</v>
      </c>
      <c r="X140" s="6" t="s">
        <v>502</v>
      </c>
      <c r="Z140" s="6">
        <v>0.94599999999999995</v>
      </c>
      <c r="AA140" s="6" t="s">
        <v>503</v>
      </c>
      <c r="AB140" s="6" t="s">
        <v>503</v>
      </c>
      <c r="AC140" s="6" t="s">
        <v>503</v>
      </c>
    </row>
    <row r="141" spans="1:29">
      <c r="A141" s="6">
        <v>50</v>
      </c>
      <c r="B141" s="6" t="s">
        <v>254</v>
      </c>
      <c r="C141" s="6" t="b">
        <v>0</v>
      </c>
      <c r="D141" s="6" t="s">
        <v>229</v>
      </c>
      <c r="E141" s="6" t="s">
        <v>504</v>
      </c>
      <c r="F141" s="6" t="s">
        <v>499</v>
      </c>
      <c r="G141" s="6" t="s">
        <v>505</v>
      </c>
      <c r="H141" s="6" t="s">
        <v>501</v>
      </c>
      <c r="I141" s="6">
        <v>26.134</v>
      </c>
      <c r="J141" s="6">
        <v>26.087</v>
      </c>
      <c r="K141" s="6">
        <v>7.6999999999999999E-2</v>
      </c>
      <c r="S141" s="6" t="b">
        <v>1</v>
      </c>
      <c r="T141" s="6">
        <v>0.16400000000000001</v>
      </c>
      <c r="U141" s="6" t="b">
        <v>1</v>
      </c>
      <c r="V141" s="6">
        <v>3</v>
      </c>
      <c r="W141" s="6">
        <v>21</v>
      </c>
      <c r="X141" s="6" t="s">
        <v>502</v>
      </c>
      <c r="Z141" s="6">
        <v>0.95799999999999996</v>
      </c>
      <c r="AA141" s="6" t="s">
        <v>503</v>
      </c>
      <c r="AB141" s="6" t="s">
        <v>503</v>
      </c>
      <c r="AC141" s="6" t="s">
        <v>503</v>
      </c>
    </row>
    <row r="142" spans="1:29">
      <c r="A142" s="6">
        <v>51</v>
      </c>
      <c r="B142" s="6" t="s">
        <v>255</v>
      </c>
      <c r="C142" s="6" t="b">
        <v>0</v>
      </c>
      <c r="D142" s="6" t="s">
        <v>229</v>
      </c>
      <c r="E142" s="6" t="s">
        <v>498</v>
      </c>
      <c r="F142" s="6" t="s">
        <v>499</v>
      </c>
      <c r="G142" s="6" t="s">
        <v>500</v>
      </c>
      <c r="H142" s="6" t="s">
        <v>501</v>
      </c>
      <c r="I142" s="6">
        <v>30.954000000000001</v>
      </c>
      <c r="J142" s="6">
        <v>30.928999999999998</v>
      </c>
      <c r="K142" s="6">
        <v>2.5999999999999999E-2</v>
      </c>
      <c r="S142" s="6" t="b">
        <v>1</v>
      </c>
      <c r="T142" s="6">
        <v>0.20699999999999999</v>
      </c>
      <c r="U142" s="6" t="b">
        <v>1</v>
      </c>
      <c r="V142" s="6">
        <v>3</v>
      </c>
      <c r="W142" s="6">
        <v>26</v>
      </c>
      <c r="X142" s="6" t="s">
        <v>502</v>
      </c>
      <c r="Z142" s="6">
        <v>0.94399999999999995</v>
      </c>
      <c r="AA142" s="6" t="s">
        <v>503</v>
      </c>
      <c r="AB142" s="6" t="s">
        <v>503</v>
      </c>
      <c r="AC142" s="6" t="s">
        <v>503</v>
      </c>
    </row>
    <row r="143" spans="1:29">
      <c r="A143" s="6">
        <v>51</v>
      </c>
      <c r="B143" s="6" t="s">
        <v>255</v>
      </c>
      <c r="C143" s="6" t="b">
        <v>0</v>
      </c>
      <c r="D143" s="6" t="s">
        <v>229</v>
      </c>
      <c r="E143" s="6" t="s">
        <v>504</v>
      </c>
      <c r="F143" s="6" t="s">
        <v>499</v>
      </c>
      <c r="G143" s="6" t="s">
        <v>505</v>
      </c>
      <c r="H143" s="6" t="s">
        <v>501</v>
      </c>
      <c r="I143" s="6">
        <v>25.998000000000001</v>
      </c>
      <c r="J143" s="6">
        <v>26.087</v>
      </c>
      <c r="K143" s="6">
        <v>7.6999999999999999E-2</v>
      </c>
      <c r="S143" s="6" t="b">
        <v>1</v>
      </c>
      <c r="T143" s="6">
        <v>0.16400000000000001</v>
      </c>
      <c r="U143" s="6" t="b">
        <v>1</v>
      </c>
      <c r="V143" s="6">
        <v>3</v>
      </c>
      <c r="W143" s="6">
        <v>20</v>
      </c>
      <c r="X143" s="6" t="s">
        <v>502</v>
      </c>
      <c r="Z143" s="6">
        <v>0.95899999999999996</v>
      </c>
      <c r="AA143" s="6" t="s">
        <v>503</v>
      </c>
      <c r="AB143" s="6" t="s">
        <v>503</v>
      </c>
      <c r="AC143" s="6" t="s">
        <v>503</v>
      </c>
    </row>
    <row r="144" spans="1:29">
      <c r="A144" s="6">
        <v>52</v>
      </c>
      <c r="B144" s="6" t="s">
        <v>74</v>
      </c>
      <c r="C144" s="6" t="b">
        <v>0</v>
      </c>
      <c r="D144" s="6" t="s">
        <v>519</v>
      </c>
      <c r="E144" s="6" t="s">
        <v>498</v>
      </c>
      <c r="F144" s="6" t="s">
        <v>499</v>
      </c>
      <c r="G144" s="6" t="s">
        <v>500</v>
      </c>
      <c r="H144" s="6" t="s">
        <v>501</v>
      </c>
      <c r="I144" s="6">
        <v>28.806999999999999</v>
      </c>
      <c r="J144" s="6">
        <v>28.475000000000001</v>
      </c>
      <c r="K144" s="6">
        <v>0.28999999999999998</v>
      </c>
      <c r="S144" s="6" t="b">
        <v>1</v>
      </c>
      <c r="T144" s="6">
        <v>0.20699999999999999</v>
      </c>
      <c r="U144" s="6" t="b">
        <v>1</v>
      </c>
      <c r="V144" s="6">
        <v>3</v>
      </c>
      <c r="W144" s="6">
        <v>24</v>
      </c>
      <c r="X144" s="6" t="s">
        <v>502</v>
      </c>
      <c r="Z144" s="6">
        <v>0.95</v>
      </c>
      <c r="AA144" s="6" t="s">
        <v>503</v>
      </c>
      <c r="AB144" s="6" t="s">
        <v>503</v>
      </c>
      <c r="AC144" s="6" t="s">
        <v>503</v>
      </c>
    </row>
    <row r="145" spans="1:29">
      <c r="A145" s="6">
        <v>52</v>
      </c>
      <c r="B145" s="6" t="s">
        <v>74</v>
      </c>
      <c r="C145" s="6" t="b">
        <v>0</v>
      </c>
      <c r="D145" s="6" t="s">
        <v>519</v>
      </c>
      <c r="E145" s="6" t="s">
        <v>504</v>
      </c>
      <c r="F145" s="6" t="s">
        <v>499</v>
      </c>
      <c r="G145" s="6" t="s">
        <v>505</v>
      </c>
      <c r="H145" s="6" t="s">
        <v>501</v>
      </c>
      <c r="I145" s="6">
        <v>21.366</v>
      </c>
      <c r="J145" s="6">
        <v>21.036999999999999</v>
      </c>
      <c r="K145" s="6">
        <v>0.28499999999999998</v>
      </c>
      <c r="S145" s="6" t="b">
        <v>1</v>
      </c>
      <c r="T145" s="6">
        <v>0.16400000000000001</v>
      </c>
      <c r="U145" s="6" t="b">
        <v>1</v>
      </c>
      <c r="V145" s="6">
        <v>3</v>
      </c>
      <c r="W145" s="6">
        <v>16</v>
      </c>
      <c r="X145" s="6" t="s">
        <v>502</v>
      </c>
      <c r="Z145" s="6">
        <v>0.96299999999999997</v>
      </c>
      <c r="AA145" s="6" t="s">
        <v>503</v>
      </c>
      <c r="AB145" s="6" t="s">
        <v>503</v>
      </c>
      <c r="AC145" s="6" t="s">
        <v>503</v>
      </c>
    </row>
    <row r="146" spans="1:29">
      <c r="A146" s="6">
        <v>53</v>
      </c>
      <c r="B146" s="6" t="s">
        <v>75</v>
      </c>
      <c r="C146" s="6" t="b">
        <v>0</v>
      </c>
      <c r="D146" s="6" t="s">
        <v>519</v>
      </c>
      <c r="E146" s="6" t="s">
        <v>498</v>
      </c>
      <c r="F146" s="6" t="s">
        <v>499</v>
      </c>
      <c r="G146" s="6" t="s">
        <v>500</v>
      </c>
      <c r="H146" s="6" t="s">
        <v>501</v>
      </c>
      <c r="I146" s="6">
        <v>28.35</v>
      </c>
      <c r="J146" s="6">
        <v>28.475000000000001</v>
      </c>
      <c r="K146" s="6">
        <v>0.28999999999999998</v>
      </c>
      <c r="S146" s="6" t="b">
        <v>1</v>
      </c>
      <c r="T146" s="6">
        <v>0.20699999999999999</v>
      </c>
      <c r="U146" s="6" t="b">
        <v>1</v>
      </c>
      <c r="V146" s="6">
        <v>3</v>
      </c>
      <c r="W146" s="6">
        <v>24</v>
      </c>
      <c r="X146" s="6" t="s">
        <v>502</v>
      </c>
      <c r="Z146" s="6">
        <v>0.95199999999999996</v>
      </c>
      <c r="AA146" s="6" t="s">
        <v>503</v>
      </c>
      <c r="AB146" s="6" t="s">
        <v>503</v>
      </c>
      <c r="AC146" s="6" t="s">
        <v>503</v>
      </c>
    </row>
    <row r="147" spans="1:29">
      <c r="A147" s="6">
        <v>53</v>
      </c>
      <c r="B147" s="6" t="s">
        <v>75</v>
      </c>
      <c r="C147" s="6" t="b">
        <v>0</v>
      </c>
      <c r="D147" s="6" t="s">
        <v>519</v>
      </c>
      <c r="E147" s="6" t="s">
        <v>504</v>
      </c>
      <c r="F147" s="6" t="s">
        <v>499</v>
      </c>
      <c r="G147" s="6" t="s">
        <v>505</v>
      </c>
      <c r="H147" s="6" t="s">
        <v>501</v>
      </c>
      <c r="I147" s="6">
        <v>20.878</v>
      </c>
      <c r="J147" s="6">
        <v>21.036999999999999</v>
      </c>
      <c r="K147" s="6">
        <v>0.28499999999999998</v>
      </c>
      <c r="S147" s="6" t="b">
        <v>1</v>
      </c>
      <c r="T147" s="6">
        <v>0.16400000000000001</v>
      </c>
      <c r="U147" s="6" t="b">
        <v>1</v>
      </c>
      <c r="V147" s="6">
        <v>3</v>
      </c>
      <c r="W147" s="6">
        <v>15</v>
      </c>
      <c r="X147" s="6" t="s">
        <v>502</v>
      </c>
      <c r="Z147" s="6">
        <v>0.96499999999999997</v>
      </c>
      <c r="AA147" s="6" t="s">
        <v>503</v>
      </c>
      <c r="AB147" s="6" t="s">
        <v>503</v>
      </c>
      <c r="AC147" s="6" t="s">
        <v>503</v>
      </c>
    </row>
    <row r="148" spans="1:29">
      <c r="A148" s="6">
        <v>54</v>
      </c>
      <c r="B148" s="6" t="s">
        <v>76</v>
      </c>
      <c r="C148" s="6" t="b">
        <v>0</v>
      </c>
      <c r="D148" s="6" t="s">
        <v>519</v>
      </c>
      <c r="E148" s="6" t="s">
        <v>498</v>
      </c>
      <c r="F148" s="6" t="s">
        <v>499</v>
      </c>
      <c r="G148" s="6" t="s">
        <v>500</v>
      </c>
      <c r="H148" s="6" t="s">
        <v>501</v>
      </c>
      <c r="I148" s="6">
        <v>28.268000000000001</v>
      </c>
      <c r="J148" s="6">
        <v>28.475000000000001</v>
      </c>
      <c r="K148" s="6">
        <v>0.28999999999999998</v>
      </c>
      <c r="S148" s="6" t="b">
        <v>1</v>
      </c>
      <c r="T148" s="6">
        <v>0.20699999999999999</v>
      </c>
      <c r="U148" s="6" t="b">
        <v>1</v>
      </c>
      <c r="V148" s="6">
        <v>3</v>
      </c>
      <c r="W148" s="6">
        <v>24</v>
      </c>
      <c r="X148" s="6" t="s">
        <v>502</v>
      </c>
      <c r="Z148" s="6">
        <v>0.94399999999999995</v>
      </c>
      <c r="AA148" s="6" t="s">
        <v>503</v>
      </c>
      <c r="AB148" s="6" t="s">
        <v>503</v>
      </c>
      <c r="AC148" s="6" t="s">
        <v>503</v>
      </c>
    </row>
    <row r="149" spans="1:29">
      <c r="A149" s="6">
        <v>54</v>
      </c>
      <c r="B149" s="6" t="s">
        <v>76</v>
      </c>
      <c r="C149" s="6" t="b">
        <v>0</v>
      </c>
      <c r="D149" s="6" t="s">
        <v>519</v>
      </c>
      <c r="E149" s="6" t="s">
        <v>504</v>
      </c>
      <c r="F149" s="6" t="s">
        <v>499</v>
      </c>
      <c r="G149" s="6" t="s">
        <v>505</v>
      </c>
      <c r="H149" s="6" t="s">
        <v>501</v>
      </c>
      <c r="I149" s="6">
        <v>20.867000000000001</v>
      </c>
      <c r="J149" s="6">
        <v>21.036999999999999</v>
      </c>
      <c r="K149" s="6">
        <v>0.28499999999999998</v>
      </c>
      <c r="S149" s="6" t="b">
        <v>1</v>
      </c>
      <c r="T149" s="6">
        <v>0.16400000000000001</v>
      </c>
      <c r="U149" s="6" t="b">
        <v>1</v>
      </c>
      <c r="V149" s="6">
        <v>3</v>
      </c>
      <c r="W149" s="6">
        <v>16</v>
      </c>
      <c r="X149" s="6" t="s">
        <v>502</v>
      </c>
      <c r="Z149" s="6">
        <v>0.96099999999999997</v>
      </c>
      <c r="AA149" s="6" t="s">
        <v>503</v>
      </c>
      <c r="AB149" s="6" t="s">
        <v>503</v>
      </c>
      <c r="AC149" s="6" t="s">
        <v>503</v>
      </c>
    </row>
    <row r="150" spans="1:29">
      <c r="A150" s="6">
        <v>55</v>
      </c>
      <c r="B150" s="6" t="s">
        <v>77</v>
      </c>
      <c r="C150" s="6" t="b">
        <v>0</v>
      </c>
      <c r="D150" s="6" t="s">
        <v>520</v>
      </c>
      <c r="E150" s="6" t="s">
        <v>498</v>
      </c>
      <c r="F150" s="6" t="s">
        <v>499</v>
      </c>
      <c r="G150" s="6" t="s">
        <v>500</v>
      </c>
      <c r="H150" s="6" t="s">
        <v>501</v>
      </c>
      <c r="I150" s="6">
        <v>31.739000000000001</v>
      </c>
      <c r="J150" s="6">
        <v>31.818000000000001</v>
      </c>
      <c r="K150" s="6">
        <v>0.16200000000000001</v>
      </c>
      <c r="S150" s="6" t="b">
        <v>1</v>
      </c>
      <c r="T150" s="6">
        <v>0.20699999999999999</v>
      </c>
      <c r="U150" s="6" t="b">
        <v>1</v>
      </c>
      <c r="V150" s="6">
        <v>3</v>
      </c>
      <c r="W150" s="6">
        <v>27</v>
      </c>
      <c r="X150" s="6" t="s">
        <v>502</v>
      </c>
      <c r="Z150" s="6">
        <v>0.95399999999999996</v>
      </c>
      <c r="AA150" s="6" t="s">
        <v>503</v>
      </c>
      <c r="AB150" s="6" t="s">
        <v>503</v>
      </c>
      <c r="AC150" s="6" t="s">
        <v>503</v>
      </c>
    </row>
    <row r="151" spans="1:29">
      <c r="A151" s="6">
        <v>55</v>
      </c>
      <c r="B151" s="6" t="s">
        <v>77</v>
      </c>
      <c r="C151" s="6" t="b">
        <v>0</v>
      </c>
      <c r="D151" s="6" t="s">
        <v>520</v>
      </c>
      <c r="E151" s="6" t="s">
        <v>504</v>
      </c>
      <c r="F151" s="6" t="s">
        <v>499</v>
      </c>
      <c r="G151" s="6" t="s">
        <v>505</v>
      </c>
      <c r="H151" s="6" t="s">
        <v>501</v>
      </c>
      <c r="I151" s="6">
        <v>19.405999999999999</v>
      </c>
      <c r="J151" s="6">
        <v>19.515999999999998</v>
      </c>
      <c r="K151" s="6">
        <v>9.6000000000000002E-2</v>
      </c>
      <c r="S151" s="6" t="b">
        <v>1</v>
      </c>
      <c r="T151" s="6">
        <v>0.16400000000000001</v>
      </c>
      <c r="U151" s="6" t="b">
        <v>1</v>
      </c>
      <c r="V151" s="6">
        <v>3</v>
      </c>
      <c r="W151" s="6">
        <v>14</v>
      </c>
      <c r="X151" s="6" t="s">
        <v>502</v>
      </c>
      <c r="Z151" s="6">
        <v>0.96499999999999997</v>
      </c>
      <c r="AA151" s="6" t="s">
        <v>503</v>
      </c>
      <c r="AB151" s="6" t="s">
        <v>503</v>
      </c>
      <c r="AC151" s="6" t="s">
        <v>503</v>
      </c>
    </row>
    <row r="152" spans="1:29">
      <c r="A152" s="6">
        <v>56</v>
      </c>
      <c r="B152" s="6" t="s">
        <v>78</v>
      </c>
      <c r="C152" s="6" t="b">
        <v>0</v>
      </c>
      <c r="D152" s="6" t="s">
        <v>520</v>
      </c>
      <c r="E152" s="6" t="s">
        <v>498</v>
      </c>
      <c r="F152" s="6" t="s">
        <v>499</v>
      </c>
      <c r="G152" s="6" t="s">
        <v>500</v>
      </c>
      <c r="H152" s="6" t="s">
        <v>501</v>
      </c>
      <c r="I152" s="6">
        <v>31.712</v>
      </c>
      <c r="J152" s="6">
        <v>31.818000000000001</v>
      </c>
      <c r="K152" s="6">
        <v>0.16200000000000001</v>
      </c>
      <c r="S152" s="6" t="b">
        <v>1</v>
      </c>
      <c r="T152" s="6">
        <v>0.20699999999999999</v>
      </c>
      <c r="U152" s="6" t="b">
        <v>1</v>
      </c>
      <c r="V152" s="6">
        <v>3</v>
      </c>
      <c r="W152" s="6">
        <v>27</v>
      </c>
      <c r="X152" s="6" t="s">
        <v>502</v>
      </c>
      <c r="Z152" s="6">
        <v>0.95399999999999996</v>
      </c>
      <c r="AA152" s="6" t="s">
        <v>503</v>
      </c>
      <c r="AB152" s="6" t="s">
        <v>503</v>
      </c>
      <c r="AC152" s="6" t="s">
        <v>503</v>
      </c>
    </row>
    <row r="153" spans="1:29">
      <c r="A153" s="6">
        <v>56</v>
      </c>
      <c r="B153" s="6" t="s">
        <v>78</v>
      </c>
      <c r="C153" s="6" t="b">
        <v>0</v>
      </c>
      <c r="D153" s="6" t="s">
        <v>520</v>
      </c>
      <c r="E153" s="6" t="s">
        <v>504</v>
      </c>
      <c r="F153" s="6" t="s">
        <v>499</v>
      </c>
      <c r="G153" s="6" t="s">
        <v>505</v>
      </c>
      <c r="H153" s="6" t="s">
        <v>501</v>
      </c>
      <c r="I153" s="6">
        <v>19.577000000000002</v>
      </c>
      <c r="J153" s="6">
        <v>19.515999999999998</v>
      </c>
      <c r="K153" s="6">
        <v>9.6000000000000002E-2</v>
      </c>
      <c r="S153" s="6" t="b">
        <v>1</v>
      </c>
      <c r="T153" s="6">
        <v>0.16400000000000001</v>
      </c>
      <c r="U153" s="6" t="b">
        <v>1</v>
      </c>
      <c r="V153" s="6">
        <v>3</v>
      </c>
      <c r="W153" s="6">
        <v>14</v>
      </c>
      <c r="X153" s="6" t="s">
        <v>502</v>
      </c>
      <c r="Z153" s="6">
        <v>0.96699999999999997</v>
      </c>
      <c r="AA153" s="6" t="s">
        <v>503</v>
      </c>
      <c r="AB153" s="6" t="s">
        <v>503</v>
      </c>
      <c r="AC153" s="6" t="s">
        <v>503</v>
      </c>
    </row>
    <row r="154" spans="1:29">
      <c r="A154" s="6">
        <v>57</v>
      </c>
      <c r="B154" s="6" t="s">
        <v>79</v>
      </c>
      <c r="C154" s="6" t="b">
        <v>0</v>
      </c>
      <c r="D154" s="6" t="s">
        <v>520</v>
      </c>
      <c r="E154" s="6" t="s">
        <v>498</v>
      </c>
      <c r="F154" s="6" t="s">
        <v>499</v>
      </c>
      <c r="G154" s="6" t="s">
        <v>500</v>
      </c>
      <c r="H154" s="6" t="s">
        <v>501</v>
      </c>
      <c r="I154" s="6">
        <v>32.003999999999998</v>
      </c>
      <c r="J154" s="6">
        <v>31.818000000000001</v>
      </c>
      <c r="K154" s="6">
        <v>0.16200000000000001</v>
      </c>
      <c r="S154" s="6" t="b">
        <v>1</v>
      </c>
      <c r="T154" s="6">
        <v>0.20699999999999999</v>
      </c>
      <c r="U154" s="6" t="b">
        <v>1</v>
      </c>
      <c r="V154" s="6">
        <v>3</v>
      </c>
      <c r="W154" s="6">
        <v>27</v>
      </c>
      <c r="X154" s="6" t="s">
        <v>502</v>
      </c>
      <c r="Z154" s="6">
        <v>0.94899999999999995</v>
      </c>
      <c r="AA154" s="6" t="s">
        <v>503</v>
      </c>
      <c r="AB154" s="6" t="s">
        <v>503</v>
      </c>
      <c r="AC154" s="6" t="s">
        <v>503</v>
      </c>
    </row>
    <row r="155" spans="1:29">
      <c r="A155" s="6">
        <v>57</v>
      </c>
      <c r="B155" s="6" t="s">
        <v>79</v>
      </c>
      <c r="C155" s="6" t="b">
        <v>0</v>
      </c>
      <c r="D155" s="6" t="s">
        <v>520</v>
      </c>
      <c r="E155" s="6" t="s">
        <v>504</v>
      </c>
      <c r="F155" s="6" t="s">
        <v>499</v>
      </c>
      <c r="G155" s="6" t="s">
        <v>505</v>
      </c>
      <c r="H155" s="6" t="s">
        <v>501</v>
      </c>
      <c r="I155" s="6">
        <v>19.564</v>
      </c>
      <c r="J155" s="6">
        <v>19.515999999999998</v>
      </c>
      <c r="K155" s="6">
        <v>9.6000000000000002E-2</v>
      </c>
      <c r="S155" s="6" t="b">
        <v>1</v>
      </c>
      <c r="T155" s="6">
        <v>0.16400000000000001</v>
      </c>
      <c r="U155" s="6" t="b">
        <v>1</v>
      </c>
      <c r="V155" s="6">
        <v>3</v>
      </c>
      <c r="W155" s="6">
        <v>14</v>
      </c>
      <c r="X155" s="6" t="s">
        <v>502</v>
      </c>
      <c r="Z155" s="6">
        <v>0.96</v>
      </c>
      <c r="AA155" s="6" t="s">
        <v>503</v>
      </c>
      <c r="AB155" s="6" t="s">
        <v>503</v>
      </c>
      <c r="AC155" s="6" t="s">
        <v>503</v>
      </c>
    </row>
    <row r="156" spans="1:29">
      <c r="A156" s="6">
        <v>58</v>
      </c>
      <c r="B156" s="6" t="s">
        <v>80</v>
      </c>
      <c r="C156" s="6" t="b">
        <v>0</v>
      </c>
      <c r="D156" s="6" t="s">
        <v>521</v>
      </c>
      <c r="E156" s="6" t="s">
        <v>498</v>
      </c>
      <c r="F156" s="6" t="s">
        <v>499</v>
      </c>
      <c r="G156" s="6" t="s">
        <v>500</v>
      </c>
      <c r="H156" s="6" t="s">
        <v>501</v>
      </c>
      <c r="I156" s="6">
        <v>30.364999999999998</v>
      </c>
      <c r="J156" s="6">
        <v>30.654</v>
      </c>
      <c r="K156" s="6">
        <v>0.29599999999999999</v>
      </c>
      <c r="S156" s="6" t="b">
        <v>1</v>
      </c>
      <c r="T156" s="6">
        <v>0.20699999999999999</v>
      </c>
      <c r="U156" s="6" t="b">
        <v>1</v>
      </c>
      <c r="V156" s="6">
        <v>3</v>
      </c>
      <c r="W156" s="6">
        <v>25</v>
      </c>
      <c r="X156" s="6" t="s">
        <v>502</v>
      </c>
      <c r="Z156" s="6">
        <v>0.95399999999999996</v>
      </c>
      <c r="AA156" s="6" t="s">
        <v>503</v>
      </c>
      <c r="AB156" s="6" t="s">
        <v>503</v>
      </c>
      <c r="AC156" s="6" t="s">
        <v>503</v>
      </c>
    </row>
    <row r="157" spans="1:29">
      <c r="A157" s="6">
        <v>58</v>
      </c>
      <c r="B157" s="6" t="s">
        <v>80</v>
      </c>
      <c r="C157" s="6" t="b">
        <v>0</v>
      </c>
      <c r="D157" s="6" t="s">
        <v>521</v>
      </c>
      <c r="E157" s="6" t="s">
        <v>504</v>
      </c>
      <c r="F157" s="6" t="s">
        <v>499</v>
      </c>
      <c r="G157" s="6" t="s">
        <v>505</v>
      </c>
      <c r="H157" s="6" t="s">
        <v>501</v>
      </c>
      <c r="I157" s="6">
        <v>19.058</v>
      </c>
      <c r="J157" s="6">
        <v>19.471</v>
      </c>
      <c r="K157" s="6">
        <v>0.42399999999999999</v>
      </c>
      <c r="S157" s="6" t="b">
        <v>1</v>
      </c>
      <c r="T157" s="6">
        <v>0.16400000000000001</v>
      </c>
      <c r="U157" s="6" t="b">
        <v>1</v>
      </c>
      <c r="V157" s="6">
        <v>3</v>
      </c>
      <c r="W157" s="6">
        <v>14</v>
      </c>
      <c r="X157" s="6" t="s">
        <v>502</v>
      </c>
      <c r="Z157" s="6">
        <v>0.96299999999999997</v>
      </c>
      <c r="AA157" s="6" t="s">
        <v>503</v>
      </c>
      <c r="AB157" s="6" t="s">
        <v>503</v>
      </c>
      <c r="AC157" s="6" t="s">
        <v>503</v>
      </c>
    </row>
    <row r="158" spans="1:29">
      <c r="A158" s="6">
        <v>59</v>
      </c>
      <c r="B158" s="6" t="s">
        <v>81</v>
      </c>
      <c r="C158" s="6" t="b">
        <v>0</v>
      </c>
      <c r="D158" s="6" t="s">
        <v>521</v>
      </c>
      <c r="E158" s="6" t="s">
        <v>498</v>
      </c>
      <c r="F158" s="6" t="s">
        <v>499</v>
      </c>
      <c r="G158" s="6" t="s">
        <v>500</v>
      </c>
      <c r="H158" s="6" t="s">
        <v>501</v>
      </c>
      <c r="I158" s="6">
        <v>30.64</v>
      </c>
      <c r="J158" s="6">
        <v>30.654</v>
      </c>
      <c r="K158" s="6">
        <v>0.29599999999999999</v>
      </c>
      <c r="S158" s="6" t="b">
        <v>1</v>
      </c>
      <c r="T158" s="6">
        <v>0.20699999999999999</v>
      </c>
      <c r="U158" s="6" t="b">
        <v>1</v>
      </c>
      <c r="V158" s="6">
        <v>3</v>
      </c>
      <c r="W158" s="6">
        <v>26</v>
      </c>
      <c r="X158" s="6" t="s">
        <v>502</v>
      </c>
      <c r="Z158" s="6">
        <v>0.94799999999999995</v>
      </c>
      <c r="AA158" s="6" t="s">
        <v>503</v>
      </c>
      <c r="AB158" s="6" t="s">
        <v>503</v>
      </c>
      <c r="AC158" s="6" t="s">
        <v>503</v>
      </c>
    </row>
    <row r="159" spans="1:29">
      <c r="A159" s="6">
        <v>59</v>
      </c>
      <c r="B159" s="6" t="s">
        <v>81</v>
      </c>
      <c r="C159" s="6" t="b">
        <v>0</v>
      </c>
      <c r="D159" s="6" t="s">
        <v>521</v>
      </c>
      <c r="E159" s="6" t="s">
        <v>504</v>
      </c>
      <c r="F159" s="6" t="s">
        <v>499</v>
      </c>
      <c r="G159" s="6" t="s">
        <v>505</v>
      </c>
      <c r="H159" s="6" t="s">
        <v>501</v>
      </c>
      <c r="I159" s="6">
        <v>19.449000000000002</v>
      </c>
      <c r="J159" s="6">
        <v>19.471</v>
      </c>
      <c r="K159" s="6">
        <v>0.42399999999999999</v>
      </c>
      <c r="S159" s="6" t="b">
        <v>1</v>
      </c>
      <c r="T159" s="6">
        <v>0.16400000000000001</v>
      </c>
      <c r="U159" s="6" t="b">
        <v>1</v>
      </c>
      <c r="V159" s="6">
        <v>3</v>
      </c>
      <c r="W159" s="6">
        <v>14</v>
      </c>
      <c r="X159" s="6" t="s">
        <v>502</v>
      </c>
      <c r="Z159" s="6">
        <v>0.96299999999999997</v>
      </c>
      <c r="AA159" s="6" t="s">
        <v>503</v>
      </c>
      <c r="AB159" s="6" t="s">
        <v>503</v>
      </c>
      <c r="AC159" s="6" t="s">
        <v>503</v>
      </c>
    </row>
    <row r="160" spans="1:29">
      <c r="A160" s="6">
        <v>60</v>
      </c>
      <c r="B160" s="6" t="s">
        <v>82</v>
      </c>
      <c r="C160" s="6" t="b">
        <v>0</v>
      </c>
      <c r="D160" s="6" t="s">
        <v>521</v>
      </c>
      <c r="E160" s="6" t="s">
        <v>498</v>
      </c>
      <c r="F160" s="6" t="s">
        <v>499</v>
      </c>
      <c r="G160" s="6" t="s">
        <v>500</v>
      </c>
      <c r="H160" s="6" t="s">
        <v>501</v>
      </c>
      <c r="I160" s="6">
        <v>30.956</v>
      </c>
      <c r="J160" s="6">
        <v>30.654</v>
      </c>
      <c r="K160" s="6">
        <v>0.29599999999999999</v>
      </c>
      <c r="S160" s="6" t="b">
        <v>1</v>
      </c>
      <c r="T160" s="6">
        <v>0.20699999999999999</v>
      </c>
      <c r="U160" s="6" t="b">
        <v>1</v>
      </c>
      <c r="V160" s="6">
        <v>3</v>
      </c>
      <c r="W160" s="6">
        <v>26</v>
      </c>
      <c r="X160" s="6" t="s">
        <v>502</v>
      </c>
      <c r="Z160" s="6">
        <v>0.95399999999999996</v>
      </c>
      <c r="AA160" s="6" t="s">
        <v>503</v>
      </c>
      <c r="AB160" s="6" t="s">
        <v>503</v>
      </c>
      <c r="AC160" s="6" t="s">
        <v>503</v>
      </c>
    </row>
    <row r="161" spans="1:29">
      <c r="A161" s="6">
        <v>60</v>
      </c>
      <c r="B161" s="6" t="s">
        <v>82</v>
      </c>
      <c r="C161" s="6" t="b">
        <v>0</v>
      </c>
      <c r="D161" s="6" t="s">
        <v>521</v>
      </c>
      <c r="E161" s="6" t="s">
        <v>504</v>
      </c>
      <c r="F161" s="6" t="s">
        <v>499</v>
      </c>
      <c r="G161" s="6" t="s">
        <v>505</v>
      </c>
      <c r="H161" s="6" t="s">
        <v>501</v>
      </c>
      <c r="I161" s="6">
        <v>19.905000000000001</v>
      </c>
      <c r="J161" s="6">
        <v>19.471</v>
      </c>
      <c r="K161" s="6">
        <v>0.42399999999999999</v>
      </c>
      <c r="S161" s="6" t="b">
        <v>1</v>
      </c>
      <c r="T161" s="6">
        <v>0.16400000000000001</v>
      </c>
      <c r="U161" s="6" t="b">
        <v>1</v>
      </c>
      <c r="V161" s="6">
        <v>3</v>
      </c>
      <c r="W161" s="6">
        <v>15</v>
      </c>
      <c r="X161" s="6" t="s">
        <v>502</v>
      </c>
      <c r="Z161" s="6">
        <v>0.96699999999999997</v>
      </c>
      <c r="AA161" s="6" t="s">
        <v>503</v>
      </c>
      <c r="AB161" s="6" t="s">
        <v>503</v>
      </c>
      <c r="AC161" s="6" t="s">
        <v>503</v>
      </c>
    </row>
    <row r="162" spans="1:29">
      <c r="A162" s="6">
        <v>61</v>
      </c>
      <c r="B162" s="6" t="s">
        <v>256</v>
      </c>
      <c r="C162" s="6" t="b">
        <v>0</v>
      </c>
      <c r="D162" s="6" t="s">
        <v>230</v>
      </c>
      <c r="E162" s="6" t="s">
        <v>498</v>
      </c>
      <c r="F162" s="6" t="s">
        <v>499</v>
      </c>
      <c r="G162" s="6" t="s">
        <v>500</v>
      </c>
      <c r="H162" s="6" t="s">
        <v>501</v>
      </c>
      <c r="I162" s="6">
        <v>33.328000000000003</v>
      </c>
      <c r="J162" s="6">
        <v>33.204000000000001</v>
      </c>
      <c r="K162" s="6">
        <v>0.17399999999999999</v>
      </c>
      <c r="S162" s="6" t="b">
        <v>1</v>
      </c>
      <c r="T162" s="6">
        <v>0.20699999999999999</v>
      </c>
      <c r="U162" s="6" t="b">
        <v>1</v>
      </c>
      <c r="V162" s="6">
        <v>3</v>
      </c>
      <c r="W162" s="6">
        <v>28</v>
      </c>
      <c r="X162" s="6" t="s">
        <v>502</v>
      </c>
      <c r="Z162" s="6">
        <v>0.90900000000000003</v>
      </c>
      <c r="AA162" s="6" t="s">
        <v>503</v>
      </c>
      <c r="AB162" s="6" t="s">
        <v>503</v>
      </c>
      <c r="AC162" s="6" t="s">
        <v>503</v>
      </c>
    </row>
    <row r="163" spans="1:29">
      <c r="A163" s="6">
        <v>61</v>
      </c>
      <c r="B163" s="6" t="s">
        <v>256</v>
      </c>
      <c r="C163" s="6" t="b">
        <v>0</v>
      </c>
      <c r="D163" s="6" t="s">
        <v>230</v>
      </c>
      <c r="E163" s="6" t="s">
        <v>504</v>
      </c>
      <c r="F163" s="6" t="s">
        <v>499</v>
      </c>
      <c r="G163" s="6" t="s">
        <v>505</v>
      </c>
      <c r="H163" s="6" t="s">
        <v>501</v>
      </c>
      <c r="I163" s="6">
        <v>29.436</v>
      </c>
      <c r="J163" s="6">
        <v>29.38</v>
      </c>
      <c r="K163" s="6">
        <v>0.14199999999999999</v>
      </c>
      <c r="S163" s="6" t="b">
        <v>1</v>
      </c>
      <c r="T163" s="6">
        <v>0.16400000000000001</v>
      </c>
      <c r="U163" s="6" t="b">
        <v>1</v>
      </c>
      <c r="V163" s="6">
        <v>3</v>
      </c>
      <c r="W163" s="6">
        <v>24</v>
      </c>
      <c r="X163" s="6" t="s">
        <v>502</v>
      </c>
      <c r="Z163" s="6">
        <v>0.95099999999999996</v>
      </c>
      <c r="AA163" s="6" t="s">
        <v>503</v>
      </c>
      <c r="AB163" s="6" t="s">
        <v>503</v>
      </c>
      <c r="AC163" s="6" t="s">
        <v>503</v>
      </c>
    </row>
    <row r="164" spans="1:29">
      <c r="A164" s="6">
        <v>62</v>
      </c>
      <c r="B164" s="6" t="s">
        <v>257</v>
      </c>
      <c r="C164" s="6" t="b">
        <v>0</v>
      </c>
      <c r="D164" s="6" t="s">
        <v>230</v>
      </c>
      <c r="E164" s="6" t="s">
        <v>498</v>
      </c>
      <c r="F164" s="6" t="s">
        <v>499</v>
      </c>
      <c r="G164" s="6" t="s">
        <v>500</v>
      </c>
      <c r="H164" s="6" t="s">
        <v>501</v>
      </c>
      <c r="I164" s="6">
        <v>33.005000000000003</v>
      </c>
      <c r="J164" s="6">
        <v>33.204000000000001</v>
      </c>
      <c r="K164" s="6">
        <v>0.17399999999999999</v>
      </c>
      <c r="S164" s="6" t="b">
        <v>1</v>
      </c>
      <c r="T164" s="6">
        <v>0.20699999999999999</v>
      </c>
      <c r="U164" s="6" t="b">
        <v>1</v>
      </c>
      <c r="V164" s="6">
        <v>3</v>
      </c>
      <c r="W164" s="6">
        <v>28</v>
      </c>
      <c r="X164" s="6" t="s">
        <v>502</v>
      </c>
      <c r="Z164" s="6">
        <v>0.94599999999999995</v>
      </c>
      <c r="AA164" s="6" t="s">
        <v>503</v>
      </c>
      <c r="AB164" s="6" t="s">
        <v>503</v>
      </c>
      <c r="AC164" s="6" t="s">
        <v>503</v>
      </c>
    </row>
    <row r="165" spans="1:29">
      <c r="A165" s="6">
        <v>62</v>
      </c>
      <c r="B165" s="6" t="s">
        <v>257</v>
      </c>
      <c r="C165" s="6" t="b">
        <v>0</v>
      </c>
      <c r="D165" s="6" t="s">
        <v>230</v>
      </c>
      <c r="E165" s="6" t="s">
        <v>504</v>
      </c>
      <c r="F165" s="6" t="s">
        <v>499</v>
      </c>
      <c r="G165" s="6" t="s">
        <v>505</v>
      </c>
      <c r="H165" s="6" t="s">
        <v>501</v>
      </c>
      <c r="I165" s="6">
        <v>29.219000000000001</v>
      </c>
      <c r="J165" s="6">
        <v>29.38</v>
      </c>
      <c r="K165" s="6">
        <v>0.14199999999999999</v>
      </c>
      <c r="S165" s="6" t="b">
        <v>1</v>
      </c>
      <c r="T165" s="6">
        <v>0.16400000000000001</v>
      </c>
      <c r="U165" s="6" t="b">
        <v>1</v>
      </c>
      <c r="V165" s="6">
        <v>3</v>
      </c>
      <c r="W165" s="6">
        <v>24</v>
      </c>
      <c r="X165" s="6" t="s">
        <v>502</v>
      </c>
      <c r="Z165" s="6">
        <v>0.95699999999999996</v>
      </c>
      <c r="AA165" s="6" t="s">
        <v>503</v>
      </c>
      <c r="AB165" s="6" t="s">
        <v>503</v>
      </c>
      <c r="AC165" s="6" t="s">
        <v>503</v>
      </c>
    </row>
    <row r="166" spans="1:29">
      <c r="A166" s="6">
        <v>63</v>
      </c>
      <c r="B166" s="6" t="s">
        <v>258</v>
      </c>
      <c r="C166" s="6" t="b">
        <v>0</v>
      </c>
      <c r="D166" s="6" t="s">
        <v>230</v>
      </c>
      <c r="E166" s="6" t="s">
        <v>498</v>
      </c>
      <c r="F166" s="6" t="s">
        <v>499</v>
      </c>
      <c r="G166" s="6" t="s">
        <v>500</v>
      </c>
      <c r="H166" s="6" t="s">
        <v>501</v>
      </c>
      <c r="I166" s="6">
        <v>33.279000000000003</v>
      </c>
      <c r="J166" s="6">
        <v>33.204000000000001</v>
      </c>
      <c r="K166" s="6">
        <v>0.17399999999999999</v>
      </c>
      <c r="S166" s="6" t="b">
        <v>1</v>
      </c>
      <c r="T166" s="6">
        <v>0.20699999999999999</v>
      </c>
      <c r="U166" s="6" t="b">
        <v>1</v>
      </c>
      <c r="V166" s="6">
        <v>3</v>
      </c>
      <c r="W166" s="6">
        <v>28</v>
      </c>
      <c r="X166" s="6" t="s">
        <v>502</v>
      </c>
      <c r="Z166" s="6">
        <v>0.94399999999999995</v>
      </c>
      <c r="AA166" s="6" t="s">
        <v>503</v>
      </c>
      <c r="AB166" s="6" t="s">
        <v>503</v>
      </c>
      <c r="AC166" s="6" t="s">
        <v>503</v>
      </c>
    </row>
    <row r="167" spans="1:29">
      <c r="A167" s="6">
        <v>63</v>
      </c>
      <c r="B167" s="6" t="s">
        <v>258</v>
      </c>
      <c r="C167" s="6" t="b">
        <v>0</v>
      </c>
      <c r="D167" s="6" t="s">
        <v>230</v>
      </c>
      <c r="E167" s="6" t="s">
        <v>504</v>
      </c>
      <c r="F167" s="6" t="s">
        <v>499</v>
      </c>
      <c r="G167" s="6" t="s">
        <v>505</v>
      </c>
      <c r="H167" s="6" t="s">
        <v>501</v>
      </c>
      <c r="I167" s="6">
        <v>29.486000000000001</v>
      </c>
      <c r="J167" s="6">
        <v>29.38</v>
      </c>
      <c r="K167" s="6">
        <v>0.14199999999999999</v>
      </c>
      <c r="S167" s="6" t="b">
        <v>1</v>
      </c>
      <c r="T167" s="6">
        <v>0.16400000000000001</v>
      </c>
      <c r="U167" s="6" t="b">
        <v>1</v>
      </c>
      <c r="V167" s="6">
        <v>3</v>
      </c>
      <c r="W167" s="6">
        <v>24</v>
      </c>
      <c r="X167" s="6" t="s">
        <v>502</v>
      </c>
      <c r="Z167" s="6">
        <v>0.95599999999999996</v>
      </c>
      <c r="AA167" s="6" t="s">
        <v>503</v>
      </c>
      <c r="AB167" s="6" t="s">
        <v>503</v>
      </c>
      <c r="AC167" s="6" t="s">
        <v>503</v>
      </c>
    </row>
    <row r="168" spans="1:29">
      <c r="A168" s="6">
        <v>64</v>
      </c>
      <c r="B168" s="6" t="s">
        <v>83</v>
      </c>
      <c r="C168" s="6" t="b">
        <v>0</v>
      </c>
      <c r="D168" s="6" t="s">
        <v>522</v>
      </c>
      <c r="E168" s="6" t="s">
        <v>498</v>
      </c>
      <c r="F168" s="6" t="s">
        <v>499</v>
      </c>
      <c r="G168" s="6" t="s">
        <v>500</v>
      </c>
      <c r="H168" s="6" t="s">
        <v>501</v>
      </c>
      <c r="I168" s="6">
        <v>30.824999999999999</v>
      </c>
      <c r="J168" s="6">
        <v>30.69</v>
      </c>
      <c r="K168" s="6">
        <v>0.12</v>
      </c>
      <c r="S168" s="6" t="b">
        <v>1</v>
      </c>
      <c r="T168" s="6">
        <v>0.20699999999999999</v>
      </c>
      <c r="U168" s="6" t="b">
        <v>1</v>
      </c>
      <c r="V168" s="6">
        <v>3</v>
      </c>
      <c r="W168" s="6">
        <v>26</v>
      </c>
      <c r="X168" s="6" t="s">
        <v>502</v>
      </c>
      <c r="Z168" s="6">
        <v>0.94899999999999995</v>
      </c>
      <c r="AA168" s="6" t="s">
        <v>503</v>
      </c>
      <c r="AB168" s="6" t="s">
        <v>503</v>
      </c>
      <c r="AC168" s="6" t="s">
        <v>503</v>
      </c>
    </row>
    <row r="169" spans="1:29">
      <c r="A169" s="6">
        <v>64</v>
      </c>
      <c r="B169" s="6" t="s">
        <v>83</v>
      </c>
      <c r="C169" s="6" t="b">
        <v>0</v>
      </c>
      <c r="D169" s="6" t="s">
        <v>522</v>
      </c>
      <c r="E169" s="6" t="s">
        <v>504</v>
      </c>
      <c r="F169" s="6" t="s">
        <v>499</v>
      </c>
      <c r="G169" s="6" t="s">
        <v>505</v>
      </c>
      <c r="H169" s="6" t="s">
        <v>501</v>
      </c>
      <c r="I169" s="6">
        <v>25.085000000000001</v>
      </c>
      <c r="J169" s="6">
        <v>25.004000000000001</v>
      </c>
      <c r="K169" s="6">
        <v>7.0999999999999994E-2</v>
      </c>
      <c r="S169" s="6" t="b">
        <v>1</v>
      </c>
      <c r="T169" s="6">
        <v>0.16400000000000001</v>
      </c>
      <c r="U169" s="6" t="b">
        <v>1</v>
      </c>
      <c r="V169" s="6">
        <v>3</v>
      </c>
      <c r="W169" s="6">
        <v>20</v>
      </c>
      <c r="X169" s="6" t="s">
        <v>502</v>
      </c>
      <c r="Z169" s="6">
        <v>0.96499999999999997</v>
      </c>
      <c r="AA169" s="6" t="s">
        <v>503</v>
      </c>
      <c r="AB169" s="6" t="s">
        <v>503</v>
      </c>
      <c r="AC169" s="6" t="s">
        <v>503</v>
      </c>
    </row>
    <row r="170" spans="1:29">
      <c r="A170" s="6">
        <v>65</v>
      </c>
      <c r="B170" s="6" t="s">
        <v>84</v>
      </c>
      <c r="C170" s="6" t="b">
        <v>0</v>
      </c>
      <c r="D170" s="6" t="s">
        <v>522</v>
      </c>
      <c r="E170" s="6" t="s">
        <v>498</v>
      </c>
      <c r="F170" s="6" t="s">
        <v>499</v>
      </c>
      <c r="G170" s="6" t="s">
        <v>500</v>
      </c>
      <c r="H170" s="6" t="s">
        <v>501</v>
      </c>
      <c r="I170" s="6">
        <v>30.594999999999999</v>
      </c>
      <c r="J170" s="6">
        <v>30.69</v>
      </c>
      <c r="K170" s="6">
        <v>0.12</v>
      </c>
      <c r="S170" s="6" t="b">
        <v>1</v>
      </c>
      <c r="T170" s="6">
        <v>0.20699999999999999</v>
      </c>
      <c r="U170" s="6" t="b">
        <v>1</v>
      </c>
      <c r="V170" s="6">
        <v>3</v>
      </c>
      <c r="W170" s="6">
        <v>26</v>
      </c>
      <c r="X170" s="6" t="s">
        <v>502</v>
      </c>
      <c r="Z170" s="6">
        <v>0.95099999999999996</v>
      </c>
      <c r="AA170" s="6" t="s">
        <v>503</v>
      </c>
      <c r="AB170" s="6" t="s">
        <v>503</v>
      </c>
      <c r="AC170" s="6" t="s">
        <v>503</v>
      </c>
    </row>
    <row r="171" spans="1:29">
      <c r="A171" s="6">
        <v>65</v>
      </c>
      <c r="B171" s="6" t="s">
        <v>84</v>
      </c>
      <c r="C171" s="6" t="b">
        <v>0</v>
      </c>
      <c r="D171" s="6" t="s">
        <v>522</v>
      </c>
      <c r="E171" s="6" t="s">
        <v>504</v>
      </c>
      <c r="F171" s="6" t="s">
        <v>499</v>
      </c>
      <c r="G171" s="6" t="s">
        <v>505</v>
      </c>
      <c r="H171" s="6" t="s">
        <v>501</v>
      </c>
      <c r="I171" s="6">
        <v>24.972999999999999</v>
      </c>
      <c r="J171" s="6">
        <v>25.004000000000001</v>
      </c>
      <c r="K171" s="6">
        <v>7.0999999999999994E-2</v>
      </c>
      <c r="S171" s="6" t="b">
        <v>1</v>
      </c>
      <c r="T171" s="6">
        <v>0.16400000000000001</v>
      </c>
      <c r="U171" s="6" t="b">
        <v>1</v>
      </c>
      <c r="V171" s="6">
        <v>3</v>
      </c>
      <c r="W171" s="6">
        <v>20</v>
      </c>
      <c r="X171" s="6" t="s">
        <v>502</v>
      </c>
      <c r="Z171" s="6">
        <v>0.96399999999999997</v>
      </c>
      <c r="AA171" s="6" t="s">
        <v>503</v>
      </c>
      <c r="AB171" s="6" t="s">
        <v>503</v>
      </c>
      <c r="AC171" s="6" t="s">
        <v>503</v>
      </c>
    </row>
    <row r="172" spans="1:29">
      <c r="A172" s="6">
        <v>66</v>
      </c>
      <c r="B172" s="6" t="s">
        <v>85</v>
      </c>
      <c r="C172" s="6" t="b">
        <v>0</v>
      </c>
      <c r="D172" s="6" t="s">
        <v>522</v>
      </c>
      <c r="E172" s="6" t="s">
        <v>498</v>
      </c>
      <c r="F172" s="6" t="s">
        <v>499</v>
      </c>
      <c r="G172" s="6" t="s">
        <v>500</v>
      </c>
      <c r="H172" s="6" t="s">
        <v>501</v>
      </c>
      <c r="I172" s="6">
        <v>30.649000000000001</v>
      </c>
      <c r="J172" s="6">
        <v>30.69</v>
      </c>
      <c r="K172" s="6">
        <v>0.12</v>
      </c>
      <c r="S172" s="6" t="b">
        <v>1</v>
      </c>
      <c r="T172" s="6">
        <v>0.20699999999999999</v>
      </c>
      <c r="U172" s="6" t="b">
        <v>1</v>
      </c>
      <c r="V172" s="6">
        <v>3</v>
      </c>
      <c r="W172" s="6">
        <v>26</v>
      </c>
      <c r="X172" s="6" t="s">
        <v>502</v>
      </c>
      <c r="Z172" s="6">
        <v>0.94699999999999995</v>
      </c>
      <c r="AA172" s="6" t="s">
        <v>503</v>
      </c>
      <c r="AB172" s="6" t="s">
        <v>503</v>
      </c>
      <c r="AC172" s="6" t="s">
        <v>503</v>
      </c>
    </row>
    <row r="173" spans="1:29">
      <c r="A173" s="6">
        <v>66</v>
      </c>
      <c r="B173" s="6" t="s">
        <v>85</v>
      </c>
      <c r="C173" s="6" t="b">
        <v>0</v>
      </c>
      <c r="D173" s="6" t="s">
        <v>522</v>
      </c>
      <c r="E173" s="6" t="s">
        <v>504</v>
      </c>
      <c r="F173" s="6" t="s">
        <v>499</v>
      </c>
      <c r="G173" s="6" t="s">
        <v>505</v>
      </c>
      <c r="H173" s="6" t="s">
        <v>501</v>
      </c>
      <c r="I173" s="6">
        <v>24.954000000000001</v>
      </c>
      <c r="J173" s="6">
        <v>25.004000000000001</v>
      </c>
      <c r="K173" s="6">
        <v>7.0999999999999994E-2</v>
      </c>
      <c r="S173" s="6" t="b">
        <v>1</v>
      </c>
      <c r="T173" s="6">
        <v>0.16400000000000001</v>
      </c>
      <c r="U173" s="6" t="b">
        <v>1</v>
      </c>
      <c r="V173" s="6">
        <v>3</v>
      </c>
      <c r="W173" s="6">
        <v>19</v>
      </c>
      <c r="X173" s="6" t="s">
        <v>502</v>
      </c>
      <c r="Z173" s="6">
        <v>0.96499999999999997</v>
      </c>
      <c r="AA173" s="6" t="s">
        <v>503</v>
      </c>
      <c r="AB173" s="6" t="s">
        <v>503</v>
      </c>
      <c r="AC173" s="6" t="s">
        <v>503</v>
      </c>
    </row>
    <row r="174" spans="1:29">
      <c r="A174" s="6">
        <v>67</v>
      </c>
      <c r="B174" s="6" t="s">
        <v>86</v>
      </c>
      <c r="C174" s="6" t="b">
        <v>0</v>
      </c>
      <c r="D174" s="6" t="s">
        <v>523</v>
      </c>
      <c r="E174" s="6" t="s">
        <v>498</v>
      </c>
      <c r="F174" s="6" t="s">
        <v>499</v>
      </c>
      <c r="G174" s="6" t="s">
        <v>500</v>
      </c>
      <c r="H174" s="6" t="s">
        <v>501</v>
      </c>
      <c r="I174" s="6">
        <v>33.040999999999997</v>
      </c>
      <c r="J174" s="6">
        <v>33.237000000000002</v>
      </c>
      <c r="K174" s="6">
        <v>0.33200000000000002</v>
      </c>
      <c r="S174" s="6" t="b">
        <v>1</v>
      </c>
      <c r="T174" s="6">
        <v>0.20699999999999999</v>
      </c>
      <c r="U174" s="6" t="b">
        <v>1</v>
      </c>
      <c r="V174" s="6">
        <v>3</v>
      </c>
      <c r="W174" s="6">
        <v>28</v>
      </c>
      <c r="X174" s="6" t="s">
        <v>502</v>
      </c>
      <c r="Z174" s="6">
        <v>0.95099999999999996</v>
      </c>
      <c r="AA174" s="6" t="s">
        <v>503</v>
      </c>
      <c r="AB174" s="6" t="s">
        <v>503</v>
      </c>
      <c r="AC174" s="6" t="s">
        <v>503</v>
      </c>
    </row>
    <row r="175" spans="1:29">
      <c r="A175" s="6">
        <v>67</v>
      </c>
      <c r="B175" s="6" t="s">
        <v>86</v>
      </c>
      <c r="C175" s="6" t="b">
        <v>0</v>
      </c>
      <c r="D175" s="6" t="s">
        <v>523</v>
      </c>
      <c r="E175" s="6" t="s">
        <v>504</v>
      </c>
      <c r="F175" s="6" t="s">
        <v>499</v>
      </c>
      <c r="G175" s="6" t="s">
        <v>505</v>
      </c>
      <c r="H175" s="6" t="s">
        <v>501</v>
      </c>
      <c r="I175" s="6">
        <v>20.332999999999998</v>
      </c>
      <c r="J175" s="6">
        <v>20.344999999999999</v>
      </c>
      <c r="K175" s="6">
        <v>0.01</v>
      </c>
      <c r="S175" s="6" t="b">
        <v>1</v>
      </c>
      <c r="T175" s="6">
        <v>0.16400000000000001</v>
      </c>
      <c r="U175" s="6" t="b">
        <v>1</v>
      </c>
      <c r="V175" s="6">
        <v>3</v>
      </c>
      <c r="W175" s="6">
        <v>15</v>
      </c>
      <c r="X175" s="6" t="s">
        <v>502</v>
      </c>
      <c r="Z175" s="6">
        <v>0.96599999999999997</v>
      </c>
      <c r="AA175" s="6" t="s">
        <v>503</v>
      </c>
      <c r="AB175" s="6" t="s">
        <v>503</v>
      </c>
      <c r="AC175" s="6" t="s">
        <v>503</v>
      </c>
    </row>
    <row r="176" spans="1:29">
      <c r="A176" s="6">
        <v>68</v>
      </c>
      <c r="B176" s="6" t="s">
        <v>87</v>
      </c>
      <c r="C176" s="6" t="b">
        <v>0</v>
      </c>
      <c r="D176" s="6" t="s">
        <v>523</v>
      </c>
      <c r="E176" s="6" t="s">
        <v>498</v>
      </c>
      <c r="F176" s="6" t="s">
        <v>499</v>
      </c>
      <c r="G176" s="6" t="s">
        <v>500</v>
      </c>
      <c r="H176" s="6" t="s">
        <v>501</v>
      </c>
      <c r="I176" s="6">
        <v>33.619</v>
      </c>
      <c r="J176" s="6">
        <v>33.237000000000002</v>
      </c>
      <c r="K176" s="6">
        <v>0.33200000000000002</v>
      </c>
      <c r="S176" s="6" t="b">
        <v>1</v>
      </c>
      <c r="T176" s="6">
        <v>0.20699999999999999</v>
      </c>
      <c r="U176" s="6" t="b">
        <v>1</v>
      </c>
      <c r="V176" s="6">
        <v>3</v>
      </c>
      <c r="W176" s="6">
        <v>28</v>
      </c>
      <c r="X176" s="6" t="s">
        <v>502</v>
      </c>
      <c r="Z176" s="6">
        <v>0.95199999999999996</v>
      </c>
      <c r="AA176" s="6" t="s">
        <v>503</v>
      </c>
      <c r="AB176" s="6" t="s">
        <v>503</v>
      </c>
      <c r="AC176" s="6" t="s">
        <v>503</v>
      </c>
    </row>
    <row r="177" spans="1:29">
      <c r="A177" s="6">
        <v>68</v>
      </c>
      <c r="B177" s="6" t="s">
        <v>87</v>
      </c>
      <c r="C177" s="6" t="b">
        <v>0</v>
      </c>
      <c r="D177" s="6" t="s">
        <v>523</v>
      </c>
      <c r="E177" s="6" t="s">
        <v>504</v>
      </c>
      <c r="F177" s="6" t="s">
        <v>499</v>
      </c>
      <c r="G177" s="6" t="s">
        <v>505</v>
      </c>
      <c r="H177" s="6" t="s">
        <v>501</v>
      </c>
      <c r="I177" s="6">
        <v>20.350000000000001</v>
      </c>
      <c r="J177" s="6">
        <v>20.344999999999999</v>
      </c>
      <c r="K177" s="6">
        <v>0.01</v>
      </c>
      <c r="S177" s="6" t="b">
        <v>1</v>
      </c>
      <c r="T177" s="6">
        <v>0.16400000000000001</v>
      </c>
      <c r="U177" s="6" t="b">
        <v>1</v>
      </c>
      <c r="V177" s="6">
        <v>3</v>
      </c>
      <c r="W177" s="6">
        <v>15</v>
      </c>
      <c r="X177" s="6" t="s">
        <v>502</v>
      </c>
      <c r="Z177" s="6">
        <v>0.96799999999999997</v>
      </c>
      <c r="AA177" s="6" t="s">
        <v>503</v>
      </c>
      <c r="AB177" s="6" t="s">
        <v>503</v>
      </c>
      <c r="AC177" s="6" t="s">
        <v>503</v>
      </c>
    </row>
    <row r="178" spans="1:29">
      <c r="A178" s="6">
        <v>69</v>
      </c>
      <c r="B178" s="6" t="s">
        <v>88</v>
      </c>
      <c r="C178" s="6" t="b">
        <v>0</v>
      </c>
      <c r="D178" s="6" t="s">
        <v>523</v>
      </c>
      <c r="E178" s="6" t="s">
        <v>498</v>
      </c>
      <c r="F178" s="6" t="s">
        <v>499</v>
      </c>
      <c r="G178" s="6" t="s">
        <v>500</v>
      </c>
      <c r="H178" s="6" t="s">
        <v>501</v>
      </c>
      <c r="I178" s="6">
        <v>33.049999999999997</v>
      </c>
      <c r="J178" s="6">
        <v>33.237000000000002</v>
      </c>
      <c r="K178" s="6">
        <v>0.33200000000000002</v>
      </c>
      <c r="S178" s="6" t="b">
        <v>1</v>
      </c>
      <c r="T178" s="6">
        <v>0.20699999999999999</v>
      </c>
      <c r="U178" s="6" t="b">
        <v>1</v>
      </c>
      <c r="V178" s="6">
        <v>3</v>
      </c>
      <c r="W178" s="6">
        <v>28</v>
      </c>
      <c r="X178" s="6" t="s">
        <v>502</v>
      </c>
      <c r="Z178" s="6">
        <v>0.97799999999999998</v>
      </c>
      <c r="AA178" s="6" t="s">
        <v>503</v>
      </c>
      <c r="AB178" s="6" t="s">
        <v>503</v>
      </c>
      <c r="AC178" s="6" t="s">
        <v>503</v>
      </c>
    </row>
    <row r="179" spans="1:29">
      <c r="A179" s="6">
        <v>69</v>
      </c>
      <c r="B179" s="6" t="s">
        <v>88</v>
      </c>
      <c r="C179" s="6" t="b">
        <v>0</v>
      </c>
      <c r="D179" s="6" t="s">
        <v>523</v>
      </c>
      <c r="E179" s="6" t="s">
        <v>504</v>
      </c>
      <c r="F179" s="6" t="s">
        <v>499</v>
      </c>
      <c r="G179" s="6" t="s">
        <v>505</v>
      </c>
      <c r="H179" s="6" t="s">
        <v>501</v>
      </c>
      <c r="I179" s="6">
        <v>20.350999999999999</v>
      </c>
      <c r="J179" s="6">
        <v>20.344999999999999</v>
      </c>
      <c r="K179" s="6">
        <v>0.01</v>
      </c>
      <c r="S179" s="6" t="b">
        <v>1</v>
      </c>
      <c r="T179" s="6">
        <v>0.16400000000000001</v>
      </c>
      <c r="U179" s="6" t="b">
        <v>1</v>
      </c>
      <c r="V179" s="6">
        <v>3</v>
      </c>
      <c r="W179" s="6">
        <v>15</v>
      </c>
      <c r="X179" s="6" t="s">
        <v>502</v>
      </c>
      <c r="Z179" s="6">
        <v>0.96599999999999997</v>
      </c>
      <c r="AA179" s="6" t="s">
        <v>503</v>
      </c>
      <c r="AB179" s="6" t="s">
        <v>503</v>
      </c>
      <c r="AC179" s="6" t="s">
        <v>503</v>
      </c>
    </row>
    <row r="180" spans="1:29">
      <c r="A180" s="6">
        <v>70</v>
      </c>
      <c r="B180" s="6" t="s">
        <v>89</v>
      </c>
      <c r="C180" s="6" t="b">
        <v>0</v>
      </c>
      <c r="D180" s="6" t="s">
        <v>524</v>
      </c>
      <c r="E180" s="6" t="s">
        <v>498</v>
      </c>
      <c r="F180" s="6" t="s">
        <v>499</v>
      </c>
      <c r="G180" s="6" t="s">
        <v>500</v>
      </c>
      <c r="H180" s="6" t="s">
        <v>501</v>
      </c>
      <c r="I180" s="6">
        <v>32.265999999999998</v>
      </c>
      <c r="J180" s="6">
        <v>32.177999999999997</v>
      </c>
      <c r="K180" s="6">
        <v>0.14899999999999999</v>
      </c>
      <c r="S180" s="6" t="b">
        <v>1</v>
      </c>
      <c r="T180" s="6">
        <v>0.20699999999999999</v>
      </c>
      <c r="U180" s="6" t="b">
        <v>1</v>
      </c>
      <c r="V180" s="6">
        <v>3</v>
      </c>
      <c r="W180" s="6">
        <v>27</v>
      </c>
      <c r="X180" s="6" t="s">
        <v>502</v>
      </c>
      <c r="Z180" s="6">
        <v>0.95299999999999996</v>
      </c>
      <c r="AA180" s="6" t="s">
        <v>503</v>
      </c>
      <c r="AB180" s="6" t="s">
        <v>503</v>
      </c>
      <c r="AC180" s="6" t="s">
        <v>503</v>
      </c>
    </row>
    <row r="181" spans="1:29">
      <c r="A181" s="6">
        <v>70</v>
      </c>
      <c r="B181" s="6" t="s">
        <v>89</v>
      </c>
      <c r="C181" s="6" t="b">
        <v>0</v>
      </c>
      <c r="D181" s="6" t="s">
        <v>524</v>
      </c>
      <c r="E181" s="6" t="s">
        <v>504</v>
      </c>
      <c r="F181" s="6" t="s">
        <v>499</v>
      </c>
      <c r="G181" s="6" t="s">
        <v>505</v>
      </c>
      <c r="H181" s="6" t="s">
        <v>501</v>
      </c>
      <c r="I181" s="6">
        <v>20.561</v>
      </c>
      <c r="J181" s="6">
        <v>20.675999999999998</v>
      </c>
      <c r="K181" s="6">
        <v>0.217</v>
      </c>
      <c r="S181" s="6" t="b">
        <v>1</v>
      </c>
      <c r="T181" s="6">
        <v>0.16400000000000001</v>
      </c>
      <c r="U181" s="6" t="b">
        <v>1</v>
      </c>
      <c r="V181" s="6">
        <v>3</v>
      </c>
      <c r="W181" s="6">
        <v>16</v>
      </c>
      <c r="X181" s="6" t="s">
        <v>502</v>
      </c>
      <c r="Z181" s="6">
        <v>0.96799999999999997</v>
      </c>
      <c r="AA181" s="6" t="s">
        <v>503</v>
      </c>
      <c r="AB181" s="6" t="s">
        <v>503</v>
      </c>
      <c r="AC181" s="6" t="s">
        <v>503</v>
      </c>
    </row>
    <row r="182" spans="1:29">
      <c r="A182" s="6">
        <v>71</v>
      </c>
      <c r="B182" s="6" t="s">
        <v>90</v>
      </c>
      <c r="C182" s="6" t="b">
        <v>0</v>
      </c>
      <c r="D182" s="6" t="s">
        <v>524</v>
      </c>
      <c r="E182" s="6" t="s">
        <v>498</v>
      </c>
      <c r="F182" s="6" t="s">
        <v>499</v>
      </c>
      <c r="G182" s="6" t="s">
        <v>500</v>
      </c>
      <c r="H182" s="6" t="s">
        <v>501</v>
      </c>
      <c r="I182" s="6">
        <v>32.006</v>
      </c>
      <c r="J182" s="6">
        <v>32.177999999999997</v>
      </c>
      <c r="K182" s="6">
        <v>0.14899999999999999</v>
      </c>
      <c r="S182" s="6" t="b">
        <v>1</v>
      </c>
      <c r="T182" s="6">
        <v>0.20699999999999999</v>
      </c>
      <c r="U182" s="6" t="b">
        <v>1</v>
      </c>
      <c r="V182" s="6">
        <v>3</v>
      </c>
      <c r="W182" s="6">
        <v>27</v>
      </c>
      <c r="X182" s="6" t="s">
        <v>502</v>
      </c>
      <c r="Z182" s="6">
        <v>0.95299999999999996</v>
      </c>
      <c r="AA182" s="6" t="s">
        <v>503</v>
      </c>
      <c r="AB182" s="6" t="s">
        <v>503</v>
      </c>
      <c r="AC182" s="6" t="s">
        <v>503</v>
      </c>
    </row>
    <row r="183" spans="1:29">
      <c r="A183" s="6">
        <v>71</v>
      </c>
      <c r="B183" s="6" t="s">
        <v>90</v>
      </c>
      <c r="C183" s="6" t="b">
        <v>0</v>
      </c>
      <c r="D183" s="6" t="s">
        <v>524</v>
      </c>
      <c r="E183" s="6" t="s">
        <v>504</v>
      </c>
      <c r="F183" s="6" t="s">
        <v>499</v>
      </c>
      <c r="G183" s="6" t="s">
        <v>505</v>
      </c>
      <c r="H183" s="6" t="s">
        <v>501</v>
      </c>
      <c r="I183" s="6">
        <v>20.54</v>
      </c>
      <c r="J183" s="6">
        <v>20.675999999999998</v>
      </c>
      <c r="K183" s="6">
        <v>0.217</v>
      </c>
      <c r="S183" s="6" t="b">
        <v>1</v>
      </c>
      <c r="T183" s="6">
        <v>0.16400000000000001</v>
      </c>
      <c r="U183" s="6" t="b">
        <v>1</v>
      </c>
      <c r="V183" s="6">
        <v>3</v>
      </c>
      <c r="W183" s="6">
        <v>15</v>
      </c>
      <c r="X183" s="6" t="s">
        <v>502</v>
      </c>
      <c r="Z183" s="6">
        <v>0.96399999999999997</v>
      </c>
      <c r="AA183" s="6" t="s">
        <v>503</v>
      </c>
      <c r="AB183" s="6" t="s">
        <v>503</v>
      </c>
      <c r="AC183" s="6" t="s">
        <v>503</v>
      </c>
    </row>
    <row r="184" spans="1:29">
      <c r="A184" s="6">
        <v>72</v>
      </c>
      <c r="B184" s="6" t="s">
        <v>91</v>
      </c>
      <c r="C184" s="6" t="b">
        <v>0</v>
      </c>
      <c r="D184" s="6" t="s">
        <v>524</v>
      </c>
      <c r="E184" s="6" t="s">
        <v>498</v>
      </c>
      <c r="F184" s="6" t="s">
        <v>499</v>
      </c>
      <c r="G184" s="6" t="s">
        <v>500</v>
      </c>
      <c r="H184" s="6" t="s">
        <v>501</v>
      </c>
      <c r="I184" s="6">
        <v>32.262</v>
      </c>
      <c r="J184" s="6">
        <v>32.177999999999997</v>
      </c>
      <c r="K184" s="6">
        <v>0.14899999999999999</v>
      </c>
      <c r="S184" s="6" t="b">
        <v>1</v>
      </c>
      <c r="T184" s="6">
        <v>0.20699999999999999</v>
      </c>
      <c r="U184" s="6" t="b">
        <v>1</v>
      </c>
      <c r="V184" s="6">
        <v>3</v>
      </c>
      <c r="W184" s="6">
        <v>27</v>
      </c>
      <c r="X184" s="6" t="s">
        <v>502</v>
      </c>
      <c r="Z184" s="6">
        <v>0.95399999999999996</v>
      </c>
      <c r="AA184" s="6" t="s">
        <v>503</v>
      </c>
      <c r="AB184" s="6" t="s">
        <v>503</v>
      </c>
      <c r="AC184" s="6" t="s">
        <v>503</v>
      </c>
    </row>
    <row r="185" spans="1:29">
      <c r="A185" s="6">
        <v>72</v>
      </c>
      <c r="B185" s="6" t="s">
        <v>91</v>
      </c>
      <c r="C185" s="6" t="b">
        <v>0</v>
      </c>
      <c r="D185" s="6" t="s">
        <v>524</v>
      </c>
      <c r="E185" s="6" t="s">
        <v>504</v>
      </c>
      <c r="F185" s="6" t="s">
        <v>499</v>
      </c>
      <c r="G185" s="6" t="s">
        <v>505</v>
      </c>
      <c r="H185" s="6" t="s">
        <v>501</v>
      </c>
      <c r="I185" s="6">
        <v>20.925999999999998</v>
      </c>
      <c r="J185" s="6">
        <v>20.675999999999998</v>
      </c>
      <c r="K185" s="6">
        <v>0.217</v>
      </c>
      <c r="S185" s="6" t="b">
        <v>1</v>
      </c>
      <c r="T185" s="6">
        <v>0.16400000000000001</v>
      </c>
      <c r="U185" s="6" t="b">
        <v>1</v>
      </c>
      <c r="V185" s="6">
        <v>3</v>
      </c>
      <c r="W185" s="6">
        <v>16</v>
      </c>
      <c r="X185" s="6" t="s">
        <v>502</v>
      </c>
      <c r="Z185" s="6">
        <v>0.96499999999999997</v>
      </c>
      <c r="AA185" s="6" t="s">
        <v>503</v>
      </c>
      <c r="AB185" s="6" t="s">
        <v>503</v>
      </c>
      <c r="AC185" s="6" t="s">
        <v>503</v>
      </c>
    </row>
    <row r="186" spans="1:29">
      <c r="A186" s="6">
        <v>73</v>
      </c>
      <c r="B186" s="6" t="s">
        <v>259</v>
      </c>
      <c r="C186" s="6" t="b">
        <v>0</v>
      </c>
      <c r="D186" s="6" t="s">
        <v>301</v>
      </c>
      <c r="E186" s="6" t="s">
        <v>498</v>
      </c>
      <c r="F186" s="6" t="s">
        <v>499</v>
      </c>
      <c r="G186" s="6" t="s">
        <v>500</v>
      </c>
      <c r="H186" s="6" t="s">
        <v>501</v>
      </c>
      <c r="I186" s="6">
        <v>26.927</v>
      </c>
      <c r="J186" s="6">
        <v>27.154</v>
      </c>
      <c r="K186" s="6">
        <v>0.59599999999999997</v>
      </c>
      <c r="S186" s="6" t="b">
        <v>1</v>
      </c>
      <c r="T186" s="6">
        <v>0.20699999999999999</v>
      </c>
      <c r="U186" s="6" t="b">
        <v>1</v>
      </c>
      <c r="V186" s="6">
        <v>3</v>
      </c>
      <c r="W186" s="6">
        <v>22</v>
      </c>
      <c r="X186" s="6" t="s">
        <v>502</v>
      </c>
      <c r="Z186" s="6">
        <v>0.94499999999999995</v>
      </c>
      <c r="AA186" s="6" t="s">
        <v>503</v>
      </c>
      <c r="AB186" s="6" t="s">
        <v>503</v>
      </c>
      <c r="AC186" s="6" t="s">
        <v>518</v>
      </c>
    </row>
    <row r="187" spans="1:29">
      <c r="A187" s="6">
        <v>74</v>
      </c>
      <c r="B187" s="6" t="s">
        <v>260</v>
      </c>
      <c r="C187" s="6" t="b">
        <v>0</v>
      </c>
      <c r="D187" s="6" t="s">
        <v>301</v>
      </c>
      <c r="E187" s="6" t="s">
        <v>498</v>
      </c>
      <c r="F187" s="6" t="s">
        <v>499</v>
      </c>
      <c r="G187" s="6" t="s">
        <v>500</v>
      </c>
      <c r="H187" s="6" t="s">
        <v>501</v>
      </c>
      <c r="I187" s="6">
        <v>26.704999999999998</v>
      </c>
      <c r="J187" s="6">
        <v>27.154</v>
      </c>
      <c r="K187" s="6">
        <v>0.59599999999999997</v>
      </c>
      <c r="S187" s="6" t="b">
        <v>1</v>
      </c>
      <c r="T187" s="6">
        <v>0.20699999999999999</v>
      </c>
      <c r="U187" s="6" t="b">
        <v>1</v>
      </c>
      <c r="V187" s="6">
        <v>3</v>
      </c>
      <c r="W187" s="6">
        <v>21</v>
      </c>
      <c r="X187" s="6" t="s">
        <v>502</v>
      </c>
      <c r="Z187" s="6">
        <v>0.93300000000000005</v>
      </c>
      <c r="AA187" s="6" t="s">
        <v>503</v>
      </c>
      <c r="AB187" s="6" t="s">
        <v>503</v>
      </c>
      <c r="AC187" s="6" t="s">
        <v>518</v>
      </c>
    </row>
    <row r="188" spans="1:29">
      <c r="A188" s="6">
        <v>75</v>
      </c>
      <c r="B188" s="6" t="s">
        <v>261</v>
      </c>
      <c r="C188" s="6" t="b">
        <v>0</v>
      </c>
      <c r="D188" s="6" t="s">
        <v>301</v>
      </c>
      <c r="E188" s="6" t="s">
        <v>498</v>
      </c>
      <c r="F188" s="6" t="s">
        <v>499</v>
      </c>
      <c r="G188" s="6" t="s">
        <v>500</v>
      </c>
      <c r="H188" s="6" t="s">
        <v>501</v>
      </c>
      <c r="S188" s="6" t="b">
        <v>1</v>
      </c>
      <c r="T188" s="6">
        <v>0.20699999999999999</v>
      </c>
      <c r="U188" s="6" t="b">
        <v>1</v>
      </c>
      <c r="V188" s="6">
        <v>3</v>
      </c>
      <c r="W188" s="6">
        <v>22</v>
      </c>
      <c r="X188" s="6" t="s">
        <v>502</v>
      </c>
      <c r="Z188" s="6">
        <v>0.94199999999999995</v>
      </c>
      <c r="AA188" s="6" t="s">
        <v>503</v>
      </c>
      <c r="AB188" s="6" t="s">
        <v>503</v>
      </c>
      <c r="AC188" s="6" t="s">
        <v>518</v>
      </c>
    </row>
    <row r="189" spans="1:29">
      <c r="A189" s="6">
        <v>76</v>
      </c>
      <c r="B189" s="6" t="s">
        <v>92</v>
      </c>
      <c r="C189" s="6" t="b">
        <v>0</v>
      </c>
      <c r="D189" s="6" t="s">
        <v>525</v>
      </c>
      <c r="E189" s="6" t="s">
        <v>498</v>
      </c>
      <c r="F189" s="6" t="s">
        <v>499</v>
      </c>
      <c r="G189" s="6" t="s">
        <v>500</v>
      </c>
      <c r="H189" s="6" t="s">
        <v>501</v>
      </c>
      <c r="I189" s="6">
        <v>34.515999999999998</v>
      </c>
      <c r="J189" s="6">
        <v>33.127000000000002</v>
      </c>
      <c r="K189" s="6">
        <v>1.2130000000000001</v>
      </c>
      <c r="S189" s="6" t="b">
        <v>1</v>
      </c>
      <c r="T189" s="6">
        <v>0.20699999999999999</v>
      </c>
      <c r="U189" s="6" t="b">
        <v>1</v>
      </c>
      <c r="V189" s="6">
        <v>3</v>
      </c>
      <c r="W189" s="6">
        <v>29</v>
      </c>
      <c r="X189" s="6" t="s">
        <v>502</v>
      </c>
      <c r="Z189" s="6">
        <v>0.93799999999999994</v>
      </c>
      <c r="AA189" s="6" t="s">
        <v>503</v>
      </c>
      <c r="AB189" s="6" t="s">
        <v>503</v>
      </c>
      <c r="AC189" s="6" t="s">
        <v>518</v>
      </c>
    </row>
    <row r="190" spans="1:29">
      <c r="A190" s="6">
        <v>76</v>
      </c>
      <c r="B190" s="6" t="s">
        <v>92</v>
      </c>
      <c r="C190" s="6" t="b">
        <v>0</v>
      </c>
      <c r="D190" s="6" t="s">
        <v>525</v>
      </c>
      <c r="E190" s="6" t="s">
        <v>504</v>
      </c>
      <c r="F190" s="6" t="s">
        <v>499</v>
      </c>
      <c r="G190" s="6" t="s">
        <v>505</v>
      </c>
      <c r="H190" s="6" t="s">
        <v>501</v>
      </c>
      <c r="I190" s="6">
        <v>18.567</v>
      </c>
      <c r="J190" s="6">
        <v>18.201000000000001</v>
      </c>
      <c r="K190" s="6">
        <v>0.317</v>
      </c>
      <c r="S190" s="6" t="b">
        <v>1</v>
      </c>
      <c r="T190" s="6">
        <v>0.16400000000000001</v>
      </c>
      <c r="U190" s="6" t="b">
        <v>1</v>
      </c>
      <c r="V190" s="6">
        <v>3</v>
      </c>
      <c r="W190" s="6">
        <v>13</v>
      </c>
      <c r="X190" s="6" t="s">
        <v>502</v>
      </c>
      <c r="Z190" s="6">
        <v>0.96299999999999997</v>
      </c>
      <c r="AA190" s="6" t="s">
        <v>503</v>
      </c>
      <c r="AB190" s="6" t="s">
        <v>503</v>
      </c>
      <c r="AC190" s="6" t="s">
        <v>503</v>
      </c>
    </row>
    <row r="191" spans="1:29">
      <c r="A191" s="6">
        <v>77</v>
      </c>
      <c r="B191" s="6" t="s">
        <v>93</v>
      </c>
      <c r="C191" s="6" t="b">
        <v>0</v>
      </c>
      <c r="D191" s="6" t="s">
        <v>525</v>
      </c>
      <c r="E191" s="6" t="s">
        <v>498</v>
      </c>
      <c r="F191" s="6" t="s">
        <v>499</v>
      </c>
      <c r="G191" s="6" t="s">
        <v>500</v>
      </c>
      <c r="H191" s="6" t="s">
        <v>501</v>
      </c>
      <c r="I191" s="6">
        <v>32.584000000000003</v>
      </c>
      <c r="J191" s="6">
        <v>33.127000000000002</v>
      </c>
      <c r="K191" s="6">
        <v>1.2130000000000001</v>
      </c>
      <c r="S191" s="6" t="b">
        <v>1</v>
      </c>
      <c r="T191" s="6">
        <v>0.20699999999999999</v>
      </c>
      <c r="U191" s="6" t="b">
        <v>1</v>
      </c>
      <c r="V191" s="6">
        <v>3</v>
      </c>
      <c r="W191" s="6">
        <v>28</v>
      </c>
      <c r="X191" s="6" t="s">
        <v>502</v>
      </c>
      <c r="Z191" s="6">
        <v>0.95699999999999996</v>
      </c>
      <c r="AA191" s="6" t="s">
        <v>503</v>
      </c>
      <c r="AB191" s="6" t="s">
        <v>503</v>
      </c>
      <c r="AC191" s="6" t="s">
        <v>518</v>
      </c>
    </row>
    <row r="192" spans="1:29">
      <c r="A192" s="6">
        <v>77</v>
      </c>
      <c r="B192" s="6" t="s">
        <v>93</v>
      </c>
      <c r="C192" s="6" t="b">
        <v>0</v>
      </c>
      <c r="D192" s="6" t="s">
        <v>525</v>
      </c>
      <c r="E192" s="6" t="s">
        <v>504</v>
      </c>
      <c r="F192" s="6" t="s">
        <v>499</v>
      </c>
      <c r="G192" s="6" t="s">
        <v>505</v>
      </c>
      <c r="H192" s="6" t="s">
        <v>501</v>
      </c>
      <c r="I192" s="6">
        <v>18.013999999999999</v>
      </c>
      <c r="J192" s="6">
        <v>18.201000000000001</v>
      </c>
      <c r="K192" s="6">
        <v>0.317</v>
      </c>
      <c r="S192" s="6" t="b">
        <v>1</v>
      </c>
      <c r="T192" s="6">
        <v>0.16400000000000001</v>
      </c>
      <c r="U192" s="6" t="b">
        <v>1</v>
      </c>
      <c r="V192" s="6">
        <v>3</v>
      </c>
      <c r="W192" s="6">
        <v>13</v>
      </c>
      <c r="X192" s="6" t="s">
        <v>502</v>
      </c>
      <c r="Z192" s="6">
        <v>0.96399999999999997</v>
      </c>
      <c r="AA192" s="6" t="s">
        <v>503</v>
      </c>
      <c r="AB192" s="6" t="s">
        <v>503</v>
      </c>
      <c r="AC192" s="6" t="s">
        <v>503</v>
      </c>
    </row>
    <row r="193" spans="1:29">
      <c r="A193" s="6">
        <v>78</v>
      </c>
      <c r="B193" s="6" t="s">
        <v>94</v>
      </c>
      <c r="C193" s="6" t="b">
        <v>0</v>
      </c>
      <c r="D193" s="6" t="s">
        <v>525</v>
      </c>
      <c r="E193" s="6" t="s">
        <v>498</v>
      </c>
      <c r="F193" s="6" t="s">
        <v>499</v>
      </c>
      <c r="G193" s="6" t="s">
        <v>500</v>
      </c>
      <c r="H193" s="6" t="s">
        <v>501</v>
      </c>
      <c r="I193" s="6">
        <v>32.28</v>
      </c>
      <c r="J193" s="6">
        <v>33.127000000000002</v>
      </c>
      <c r="K193" s="6">
        <v>1.2130000000000001</v>
      </c>
      <c r="S193" s="6" t="b">
        <v>1</v>
      </c>
      <c r="T193" s="6">
        <v>0.20699999999999999</v>
      </c>
      <c r="U193" s="6" t="b">
        <v>1</v>
      </c>
      <c r="V193" s="6">
        <v>3</v>
      </c>
      <c r="W193" s="6">
        <v>27</v>
      </c>
      <c r="X193" s="6" t="s">
        <v>502</v>
      </c>
      <c r="Z193" s="6">
        <v>0.95299999999999996</v>
      </c>
      <c r="AA193" s="6" t="s">
        <v>503</v>
      </c>
      <c r="AB193" s="6" t="s">
        <v>503</v>
      </c>
      <c r="AC193" s="6" t="s">
        <v>518</v>
      </c>
    </row>
    <row r="194" spans="1:29">
      <c r="A194" s="6">
        <v>78</v>
      </c>
      <c r="B194" s="6" t="s">
        <v>94</v>
      </c>
      <c r="C194" s="6" t="b">
        <v>0</v>
      </c>
      <c r="D194" s="6" t="s">
        <v>525</v>
      </c>
      <c r="E194" s="6" t="s">
        <v>504</v>
      </c>
      <c r="F194" s="6" t="s">
        <v>499</v>
      </c>
      <c r="G194" s="6" t="s">
        <v>505</v>
      </c>
      <c r="H194" s="6" t="s">
        <v>501</v>
      </c>
      <c r="I194" s="6">
        <v>18.021999999999998</v>
      </c>
      <c r="J194" s="6">
        <v>18.201000000000001</v>
      </c>
      <c r="K194" s="6">
        <v>0.317</v>
      </c>
      <c r="S194" s="6" t="b">
        <v>1</v>
      </c>
      <c r="T194" s="6">
        <v>0.16400000000000001</v>
      </c>
      <c r="U194" s="6" t="b">
        <v>1</v>
      </c>
      <c r="V194" s="6">
        <v>3</v>
      </c>
      <c r="W194" s="6">
        <v>13</v>
      </c>
      <c r="X194" s="6" t="s">
        <v>502</v>
      </c>
      <c r="Z194" s="6">
        <v>0.96299999999999997</v>
      </c>
      <c r="AA194" s="6" t="s">
        <v>503</v>
      </c>
      <c r="AB194" s="6" t="s">
        <v>503</v>
      </c>
      <c r="AC194" s="6" t="s">
        <v>503</v>
      </c>
    </row>
    <row r="195" spans="1:29">
      <c r="A195" s="6">
        <v>79</v>
      </c>
      <c r="B195" s="6" t="s">
        <v>95</v>
      </c>
      <c r="C195" s="6" t="b">
        <v>0</v>
      </c>
      <c r="D195" s="6" t="s">
        <v>526</v>
      </c>
      <c r="E195" s="6" t="s">
        <v>498</v>
      </c>
      <c r="F195" s="6" t="s">
        <v>499</v>
      </c>
      <c r="G195" s="6" t="s">
        <v>500</v>
      </c>
      <c r="H195" s="6" t="s">
        <v>501</v>
      </c>
      <c r="I195" s="6">
        <v>34.283000000000001</v>
      </c>
      <c r="J195" s="6">
        <v>34.29</v>
      </c>
      <c r="K195" s="6">
        <v>0.13100000000000001</v>
      </c>
      <c r="S195" s="6" t="b">
        <v>1</v>
      </c>
      <c r="T195" s="6">
        <v>0.20699999999999999</v>
      </c>
      <c r="U195" s="6" t="b">
        <v>1</v>
      </c>
      <c r="V195" s="6">
        <v>3</v>
      </c>
      <c r="W195" s="6">
        <v>29</v>
      </c>
      <c r="X195" s="6" t="s">
        <v>502</v>
      </c>
      <c r="Z195" s="6">
        <v>0.94499999999999995</v>
      </c>
      <c r="AA195" s="6" t="s">
        <v>503</v>
      </c>
      <c r="AB195" s="6" t="s">
        <v>503</v>
      </c>
      <c r="AC195" s="6" t="s">
        <v>503</v>
      </c>
    </row>
    <row r="196" spans="1:29">
      <c r="A196" s="6">
        <v>79</v>
      </c>
      <c r="B196" s="6" t="s">
        <v>95</v>
      </c>
      <c r="C196" s="6" t="b">
        <v>0</v>
      </c>
      <c r="D196" s="6" t="s">
        <v>526</v>
      </c>
      <c r="E196" s="6" t="s">
        <v>504</v>
      </c>
      <c r="F196" s="6" t="s">
        <v>499</v>
      </c>
      <c r="G196" s="6" t="s">
        <v>505</v>
      </c>
      <c r="H196" s="6" t="s">
        <v>501</v>
      </c>
      <c r="I196" s="6">
        <v>22.09</v>
      </c>
      <c r="J196" s="6">
        <v>22.122</v>
      </c>
      <c r="K196" s="6">
        <v>2.8000000000000001E-2</v>
      </c>
      <c r="S196" s="6" t="b">
        <v>1</v>
      </c>
      <c r="T196" s="6">
        <v>0.16400000000000001</v>
      </c>
      <c r="U196" s="6" t="b">
        <v>1</v>
      </c>
      <c r="V196" s="6">
        <v>3</v>
      </c>
      <c r="W196" s="6">
        <v>17</v>
      </c>
      <c r="X196" s="6" t="s">
        <v>502</v>
      </c>
      <c r="Z196" s="6">
        <v>0.96299999999999997</v>
      </c>
      <c r="AA196" s="6" t="s">
        <v>503</v>
      </c>
      <c r="AB196" s="6" t="s">
        <v>503</v>
      </c>
      <c r="AC196" s="6" t="s">
        <v>503</v>
      </c>
    </row>
    <row r="197" spans="1:29">
      <c r="A197" s="6">
        <v>80</v>
      </c>
      <c r="B197" s="6" t="s">
        <v>96</v>
      </c>
      <c r="C197" s="6" t="b">
        <v>0</v>
      </c>
      <c r="D197" s="6" t="s">
        <v>526</v>
      </c>
      <c r="E197" s="6" t="s">
        <v>498</v>
      </c>
      <c r="F197" s="6" t="s">
        <v>499</v>
      </c>
      <c r="G197" s="6" t="s">
        <v>500</v>
      </c>
      <c r="H197" s="6" t="s">
        <v>501</v>
      </c>
      <c r="I197" s="6">
        <v>34.423000000000002</v>
      </c>
      <c r="J197" s="6">
        <v>34.29</v>
      </c>
      <c r="K197" s="6">
        <v>0.13100000000000001</v>
      </c>
      <c r="S197" s="6" t="b">
        <v>1</v>
      </c>
      <c r="T197" s="6">
        <v>0.20699999999999999</v>
      </c>
      <c r="U197" s="6" t="b">
        <v>1</v>
      </c>
      <c r="V197" s="6">
        <v>3</v>
      </c>
      <c r="W197" s="6">
        <v>29</v>
      </c>
      <c r="X197" s="6" t="s">
        <v>502</v>
      </c>
      <c r="Z197" s="6">
        <v>0.94099999999999995</v>
      </c>
      <c r="AA197" s="6" t="s">
        <v>503</v>
      </c>
      <c r="AB197" s="6" t="s">
        <v>503</v>
      </c>
      <c r="AC197" s="6" t="s">
        <v>503</v>
      </c>
    </row>
    <row r="198" spans="1:29">
      <c r="A198" s="6">
        <v>80</v>
      </c>
      <c r="B198" s="6" t="s">
        <v>96</v>
      </c>
      <c r="C198" s="6" t="b">
        <v>0</v>
      </c>
      <c r="D198" s="6" t="s">
        <v>526</v>
      </c>
      <c r="E198" s="6" t="s">
        <v>504</v>
      </c>
      <c r="F198" s="6" t="s">
        <v>499</v>
      </c>
      <c r="G198" s="6" t="s">
        <v>505</v>
      </c>
      <c r="H198" s="6" t="s">
        <v>501</v>
      </c>
      <c r="I198" s="6">
        <v>22.135000000000002</v>
      </c>
      <c r="J198" s="6">
        <v>22.122</v>
      </c>
      <c r="K198" s="6">
        <v>2.8000000000000001E-2</v>
      </c>
      <c r="S198" s="6" t="b">
        <v>1</v>
      </c>
      <c r="T198" s="6">
        <v>0.16400000000000001</v>
      </c>
      <c r="U198" s="6" t="b">
        <v>1</v>
      </c>
      <c r="V198" s="6">
        <v>3</v>
      </c>
      <c r="W198" s="6">
        <v>17</v>
      </c>
      <c r="X198" s="6" t="s">
        <v>502</v>
      </c>
      <c r="Z198" s="6">
        <v>0.96399999999999997</v>
      </c>
      <c r="AA198" s="6" t="s">
        <v>503</v>
      </c>
      <c r="AB198" s="6" t="s">
        <v>503</v>
      </c>
      <c r="AC198" s="6" t="s">
        <v>503</v>
      </c>
    </row>
    <row r="199" spans="1:29">
      <c r="A199" s="6">
        <v>81</v>
      </c>
      <c r="B199" s="6" t="s">
        <v>97</v>
      </c>
      <c r="C199" s="6" t="b">
        <v>0</v>
      </c>
      <c r="D199" s="6" t="s">
        <v>526</v>
      </c>
      <c r="E199" s="6" t="s">
        <v>498</v>
      </c>
      <c r="F199" s="6" t="s">
        <v>499</v>
      </c>
      <c r="G199" s="6" t="s">
        <v>500</v>
      </c>
      <c r="H199" s="6" t="s">
        <v>501</v>
      </c>
      <c r="I199" s="6">
        <v>34.161999999999999</v>
      </c>
      <c r="J199" s="6">
        <v>34.29</v>
      </c>
      <c r="K199" s="6">
        <v>0.13100000000000001</v>
      </c>
      <c r="S199" s="6" t="b">
        <v>1</v>
      </c>
      <c r="T199" s="6">
        <v>0.20699999999999999</v>
      </c>
      <c r="U199" s="6" t="b">
        <v>1</v>
      </c>
      <c r="V199" s="6">
        <v>3</v>
      </c>
      <c r="W199" s="6">
        <v>29</v>
      </c>
      <c r="X199" s="6" t="s">
        <v>502</v>
      </c>
      <c r="Z199" s="6">
        <v>0.94299999999999995</v>
      </c>
      <c r="AA199" s="6" t="s">
        <v>503</v>
      </c>
      <c r="AB199" s="6" t="s">
        <v>503</v>
      </c>
      <c r="AC199" s="6" t="s">
        <v>503</v>
      </c>
    </row>
    <row r="200" spans="1:29">
      <c r="A200" s="6">
        <v>81</v>
      </c>
      <c r="B200" s="6" t="s">
        <v>97</v>
      </c>
      <c r="C200" s="6" t="b">
        <v>0</v>
      </c>
      <c r="D200" s="6" t="s">
        <v>526</v>
      </c>
      <c r="E200" s="6" t="s">
        <v>504</v>
      </c>
      <c r="F200" s="6" t="s">
        <v>499</v>
      </c>
      <c r="G200" s="6" t="s">
        <v>505</v>
      </c>
      <c r="H200" s="6" t="s">
        <v>501</v>
      </c>
      <c r="I200" s="6">
        <v>22.141999999999999</v>
      </c>
      <c r="J200" s="6">
        <v>22.122</v>
      </c>
      <c r="K200" s="6">
        <v>2.8000000000000001E-2</v>
      </c>
      <c r="S200" s="6" t="b">
        <v>1</v>
      </c>
      <c r="T200" s="6">
        <v>0.16400000000000001</v>
      </c>
      <c r="U200" s="6" t="b">
        <v>1</v>
      </c>
      <c r="V200" s="6">
        <v>3</v>
      </c>
      <c r="W200" s="6">
        <v>17</v>
      </c>
      <c r="X200" s="6" t="s">
        <v>502</v>
      </c>
      <c r="Z200" s="6">
        <v>0.96199999999999997</v>
      </c>
      <c r="AA200" s="6" t="s">
        <v>503</v>
      </c>
      <c r="AB200" s="6" t="s">
        <v>503</v>
      </c>
      <c r="AC200" s="6" t="s">
        <v>503</v>
      </c>
    </row>
    <row r="201" spans="1:29">
      <c r="A201" s="6">
        <v>82</v>
      </c>
      <c r="B201" s="6" t="s">
        <v>98</v>
      </c>
      <c r="C201" s="6" t="b">
        <v>0</v>
      </c>
      <c r="D201" s="6" t="s">
        <v>527</v>
      </c>
      <c r="E201" s="6" t="s">
        <v>498</v>
      </c>
      <c r="F201" s="6" t="s">
        <v>499</v>
      </c>
      <c r="G201" s="6" t="s">
        <v>500</v>
      </c>
      <c r="H201" s="6" t="s">
        <v>501</v>
      </c>
      <c r="I201" s="6" t="s">
        <v>528</v>
      </c>
      <c r="S201" s="6" t="b">
        <v>1</v>
      </c>
      <c r="T201" s="6">
        <v>0.20699999999999999</v>
      </c>
      <c r="U201" s="6" t="b">
        <v>1</v>
      </c>
      <c r="V201" s="6">
        <v>3</v>
      </c>
      <c r="W201" s="6">
        <v>44</v>
      </c>
      <c r="X201" s="6" t="s">
        <v>529</v>
      </c>
      <c r="Z201" s="6">
        <v>0</v>
      </c>
      <c r="AA201" s="6" t="s">
        <v>518</v>
      </c>
      <c r="AB201" s="6" t="s">
        <v>518</v>
      </c>
      <c r="AC201" s="6" t="s">
        <v>503</v>
      </c>
    </row>
    <row r="202" spans="1:29">
      <c r="A202" s="6">
        <v>82</v>
      </c>
      <c r="B202" s="6" t="s">
        <v>98</v>
      </c>
      <c r="C202" s="6" t="b">
        <v>0</v>
      </c>
      <c r="D202" s="6" t="s">
        <v>527</v>
      </c>
      <c r="E202" s="6" t="s">
        <v>504</v>
      </c>
      <c r="F202" s="6" t="s">
        <v>499</v>
      </c>
      <c r="G202" s="6" t="s">
        <v>505</v>
      </c>
      <c r="H202" s="6" t="s">
        <v>501</v>
      </c>
      <c r="I202" s="6">
        <v>29.565999999999999</v>
      </c>
      <c r="J202" s="6">
        <v>29.803999999999998</v>
      </c>
      <c r="K202" s="6">
        <v>0.3</v>
      </c>
      <c r="S202" s="6" t="b">
        <v>1</v>
      </c>
      <c r="T202" s="6">
        <v>0.16400000000000001</v>
      </c>
      <c r="U202" s="6" t="b">
        <v>1</v>
      </c>
      <c r="V202" s="6">
        <v>3</v>
      </c>
      <c r="W202" s="6">
        <v>24</v>
      </c>
      <c r="X202" s="6" t="s">
        <v>502</v>
      </c>
      <c r="Z202" s="6">
        <v>0.95099999999999996</v>
      </c>
      <c r="AA202" s="6" t="s">
        <v>503</v>
      </c>
      <c r="AB202" s="6" t="s">
        <v>503</v>
      </c>
      <c r="AC202" s="6" t="s">
        <v>503</v>
      </c>
    </row>
    <row r="203" spans="1:29">
      <c r="A203" s="6">
        <v>83</v>
      </c>
      <c r="B203" s="6" t="s">
        <v>99</v>
      </c>
      <c r="C203" s="6" t="b">
        <v>0</v>
      </c>
      <c r="D203" s="6" t="s">
        <v>527</v>
      </c>
      <c r="E203" s="6" t="s">
        <v>498</v>
      </c>
      <c r="F203" s="6" t="s">
        <v>499</v>
      </c>
      <c r="G203" s="6" t="s">
        <v>500</v>
      </c>
      <c r="H203" s="6" t="s">
        <v>501</v>
      </c>
      <c r="I203" s="6" t="s">
        <v>528</v>
      </c>
      <c r="S203" s="6" t="b">
        <v>1</v>
      </c>
      <c r="T203" s="6">
        <v>0.20699999999999999</v>
      </c>
      <c r="U203" s="6" t="b">
        <v>1</v>
      </c>
      <c r="V203" s="6">
        <v>3</v>
      </c>
      <c r="W203" s="6">
        <v>44</v>
      </c>
      <c r="X203" s="6" t="s">
        <v>529</v>
      </c>
      <c r="Z203" s="6">
        <v>0</v>
      </c>
      <c r="AA203" s="6" t="s">
        <v>518</v>
      </c>
      <c r="AB203" s="6" t="s">
        <v>518</v>
      </c>
      <c r="AC203" s="6" t="s">
        <v>503</v>
      </c>
    </row>
    <row r="204" spans="1:29">
      <c r="A204" s="6">
        <v>83</v>
      </c>
      <c r="B204" s="6" t="s">
        <v>99</v>
      </c>
      <c r="C204" s="6" t="b">
        <v>0</v>
      </c>
      <c r="D204" s="6" t="s">
        <v>527</v>
      </c>
      <c r="E204" s="6" t="s">
        <v>504</v>
      </c>
      <c r="F204" s="6" t="s">
        <v>499</v>
      </c>
      <c r="G204" s="6" t="s">
        <v>505</v>
      </c>
      <c r="H204" s="6" t="s">
        <v>501</v>
      </c>
      <c r="I204" s="6">
        <v>29.702999999999999</v>
      </c>
      <c r="J204" s="6">
        <v>29.803999999999998</v>
      </c>
      <c r="K204" s="6">
        <v>0.3</v>
      </c>
      <c r="S204" s="6" t="b">
        <v>1</v>
      </c>
      <c r="T204" s="6">
        <v>0.16400000000000001</v>
      </c>
      <c r="U204" s="6" t="b">
        <v>1</v>
      </c>
      <c r="V204" s="6">
        <v>3</v>
      </c>
      <c r="W204" s="6">
        <v>24</v>
      </c>
      <c r="X204" s="6" t="s">
        <v>502</v>
      </c>
      <c r="Z204" s="6">
        <v>0.95399999999999996</v>
      </c>
      <c r="AA204" s="6" t="s">
        <v>503</v>
      </c>
      <c r="AB204" s="6" t="s">
        <v>503</v>
      </c>
      <c r="AC204" s="6" t="s">
        <v>503</v>
      </c>
    </row>
    <row r="205" spans="1:29">
      <c r="A205" s="6">
        <v>84</v>
      </c>
      <c r="B205" s="6" t="s">
        <v>100</v>
      </c>
      <c r="C205" s="6" t="b">
        <v>0</v>
      </c>
      <c r="D205" s="6" t="s">
        <v>527</v>
      </c>
      <c r="E205" s="6" t="s">
        <v>498</v>
      </c>
      <c r="F205" s="6" t="s">
        <v>499</v>
      </c>
      <c r="G205" s="6" t="s">
        <v>500</v>
      </c>
      <c r="H205" s="6" t="s">
        <v>501</v>
      </c>
      <c r="I205" s="6" t="s">
        <v>528</v>
      </c>
      <c r="S205" s="6" t="b">
        <v>1</v>
      </c>
      <c r="T205" s="6">
        <v>0.20699999999999999</v>
      </c>
      <c r="U205" s="6" t="b">
        <v>1</v>
      </c>
      <c r="V205" s="6">
        <v>3</v>
      </c>
      <c r="W205" s="6">
        <v>44</v>
      </c>
      <c r="X205" s="6" t="s">
        <v>529</v>
      </c>
      <c r="Z205" s="6">
        <v>0</v>
      </c>
      <c r="AA205" s="6" t="s">
        <v>518</v>
      </c>
      <c r="AB205" s="6" t="s">
        <v>518</v>
      </c>
      <c r="AC205" s="6" t="s">
        <v>503</v>
      </c>
    </row>
    <row r="206" spans="1:29">
      <c r="A206" s="6">
        <v>84</v>
      </c>
      <c r="B206" s="6" t="s">
        <v>100</v>
      </c>
      <c r="C206" s="6" t="b">
        <v>0</v>
      </c>
      <c r="D206" s="6" t="s">
        <v>527</v>
      </c>
      <c r="E206" s="6" t="s">
        <v>504</v>
      </c>
      <c r="F206" s="6" t="s">
        <v>499</v>
      </c>
      <c r="G206" s="6" t="s">
        <v>505</v>
      </c>
      <c r="H206" s="6" t="s">
        <v>501</v>
      </c>
      <c r="I206" s="6">
        <v>30.140999999999998</v>
      </c>
      <c r="J206" s="6">
        <v>29.803999999999998</v>
      </c>
      <c r="K206" s="6">
        <v>0.3</v>
      </c>
      <c r="S206" s="6" t="b">
        <v>1</v>
      </c>
      <c r="T206" s="6">
        <v>0.16400000000000001</v>
      </c>
      <c r="U206" s="6" t="b">
        <v>1</v>
      </c>
      <c r="V206" s="6">
        <v>3</v>
      </c>
      <c r="W206" s="6">
        <v>25</v>
      </c>
      <c r="X206" s="6" t="s">
        <v>502</v>
      </c>
      <c r="Z206" s="6">
        <v>0.95399999999999996</v>
      </c>
      <c r="AA206" s="6" t="s">
        <v>503</v>
      </c>
      <c r="AB206" s="6" t="s">
        <v>503</v>
      </c>
      <c r="AC206" s="6" t="s">
        <v>503</v>
      </c>
    </row>
    <row r="207" spans="1:29">
      <c r="A207" s="6">
        <v>85</v>
      </c>
      <c r="B207" s="6" t="s">
        <v>262</v>
      </c>
      <c r="C207" s="6" t="b">
        <v>0</v>
      </c>
      <c r="D207" s="6" t="s">
        <v>19</v>
      </c>
      <c r="E207" s="6" t="s">
        <v>498</v>
      </c>
      <c r="F207" s="6" t="s">
        <v>499</v>
      </c>
      <c r="G207" s="6" t="s">
        <v>500</v>
      </c>
      <c r="H207" s="6" t="s">
        <v>501</v>
      </c>
      <c r="I207" s="6" t="s">
        <v>528</v>
      </c>
      <c r="S207" s="6" t="b">
        <v>1</v>
      </c>
      <c r="T207" s="6">
        <v>0.20699999999999999</v>
      </c>
      <c r="U207" s="6" t="b">
        <v>1</v>
      </c>
      <c r="V207" s="6">
        <v>3</v>
      </c>
      <c r="W207" s="6">
        <v>44</v>
      </c>
      <c r="X207" s="6" t="s">
        <v>529</v>
      </c>
      <c r="Z207" s="6">
        <v>0</v>
      </c>
      <c r="AA207" s="6" t="s">
        <v>518</v>
      </c>
      <c r="AB207" s="6" t="s">
        <v>518</v>
      </c>
      <c r="AC207" s="6" t="s">
        <v>503</v>
      </c>
    </row>
    <row r="208" spans="1:29">
      <c r="A208" s="6">
        <v>85</v>
      </c>
      <c r="B208" s="6" t="s">
        <v>262</v>
      </c>
      <c r="C208" s="6" t="b">
        <v>0</v>
      </c>
      <c r="D208" s="6" t="s">
        <v>19</v>
      </c>
      <c r="E208" s="6" t="s">
        <v>504</v>
      </c>
      <c r="F208" s="6" t="s">
        <v>499</v>
      </c>
      <c r="G208" s="6" t="s">
        <v>505</v>
      </c>
      <c r="H208" s="6" t="s">
        <v>501</v>
      </c>
      <c r="I208" s="6">
        <v>35.604999999999997</v>
      </c>
      <c r="J208" s="6">
        <v>35.290999999999997</v>
      </c>
      <c r="K208" s="6">
        <v>0.29699999999999999</v>
      </c>
      <c r="S208" s="6" t="b">
        <v>1</v>
      </c>
      <c r="T208" s="6">
        <v>0.16400000000000001</v>
      </c>
      <c r="U208" s="6" t="b">
        <v>1</v>
      </c>
      <c r="V208" s="6">
        <v>3</v>
      </c>
      <c r="W208" s="6">
        <v>30</v>
      </c>
      <c r="X208" s="6" t="s">
        <v>502</v>
      </c>
      <c r="Z208" s="6">
        <v>0.91500000000000004</v>
      </c>
      <c r="AA208" s="6" t="s">
        <v>503</v>
      </c>
      <c r="AB208" s="6" t="s">
        <v>503</v>
      </c>
      <c r="AC208" s="6" t="s">
        <v>503</v>
      </c>
    </row>
    <row r="209" spans="1:29">
      <c r="A209" s="6">
        <v>86</v>
      </c>
      <c r="B209" s="6" t="s">
        <v>263</v>
      </c>
      <c r="C209" s="6" t="b">
        <v>0</v>
      </c>
      <c r="D209" s="6" t="s">
        <v>19</v>
      </c>
      <c r="E209" s="6" t="s">
        <v>498</v>
      </c>
      <c r="F209" s="6" t="s">
        <v>499</v>
      </c>
      <c r="G209" s="6" t="s">
        <v>500</v>
      </c>
      <c r="H209" s="6" t="s">
        <v>501</v>
      </c>
      <c r="I209" s="6" t="s">
        <v>528</v>
      </c>
      <c r="S209" s="6" t="b">
        <v>1</v>
      </c>
      <c r="T209" s="6">
        <v>0.20699999999999999</v>
      </c>
      <c r="U209" s="6" t="b">
        <v>1</v>
      </c>
      <c r="V209" s="6">
        <v>3</v>
      </c>
      <c r="W209" s="6">
        <v>44</v>
      </c>
      <c r="X209" s="6" t="s">
        <v>529</v>
      </c>
      <c r="Z209" s="6">
        <v>0</v>
      </c>
      <c r="AA209" s="6" t="s">
        <v>518</v>
      </c>
      <c r="AB209" s="6" t="s">
        <v>518</v>
      </c>
      <c r="AC209" s="6" t="s">
        <v>503</v>
      </c>
    </row>
    <row r="210" spans="1:29">
      <c r="A210" s="6">
        <v>86</v>
      </c>
      <c r="B210" s="6" t="s">
        <v>263</v>
      </c>
      <c r="C210" s="6" t="b">
        <v>0</v>
      </c>
      <c r="D210" s="6" t="s">
        <v>19</v>
      </c>
      <c r="E210" s="6" t="s">
        <v>504</v>
      </c>
      <c r="F210" s="6" t="s">
        <v>499</v>
      </c>
      <c r="G210" s="6" t="s">
        <v>505</v>
      </c>
      <c r="H210" s="6" t="s">
        <v>501</v>
      </c>
      <c r="I210" s="6">
        <v>35.014000000000003</v>
      </c>
      <c r="J210" s="6">
        <v>35.290999999999997</v>
      </c>
      <c r="K210" s="6">
        <v>0.29699999999999999</v>
      </c>
      <c r="S210" s="6" t="b">
        <v>1</v>
      </c>
      <c r="T210" s="6">
        <v>0.16400000000000001</v>
      </c>
      <c r="U210" s="6" t="b">
        <v>1</v>
      </c>
      <c r="V210" s="6">
        <v>3</v>
      </c>
      <c r="W210" s="6">
        <v>30</v>
      </c>
      <c r="X210" s="6" t="s">
        <v>502</v>
      </c>
      <c r="Z210" s="6">
        <v>0.92700000000000005</v>
      </c>
      <c r="AA210" s="6" t="s">
        <v>503</v>
      </c>
      <c r="AB210" s="6" t="s">
        <v>503</v>
      </c>
      <c r="AC210" s="6" t="s">
        <v>503</v>
      </c>
    </row>
    <row r="211" spans="1:29">
      <c r="A211" s="6">
        <v>87</v>
      </c>
      <c r="B211" s="6" t="s">
        <v>264</v>
      </c>
      <c r="C211" s="6" t="b">
        <v>0</v>
      </c>
      <c r="D211" s="6" t="s">
        <v>19</v>
      </c>
      <c r="E211" s="6" t="s">
        <v>498</v>
      </c>
      <c r="F211" s="6" t="s">
        <v>499</v>
      </c>
      <c r="G211" s="6" t="s">
        <v>500</v>
      </c>
      <c r="H211" s="6" t="s">
        <v>501</v>
      </c>
      <c r="I211" s="6" t="s">
        <v>528</v>
      </c>
      <c r="S211" s="6" t="b">
        <v>1</v>
      </c>
      <c r="T211" s="6">
        <v>0.20699999999999999</v>
      </c>
      <c r="U211" s="6" t="b">
        <v>1</v>
      </c>
      <c r="V211" s="6">
        <v>3</v>
      </c>
      <c r="W211" s="6">
        <v>44</v>
      </c>
      <c r="X211" s="6" t="s">
        <v>529</v>
      </c>
      <c r="Z211" s="6">
        <v>0</v>
      </c>
      <c r="AA211" s="6" t="s">
        <v>518</v>
      </c>
      <c r="AB211" s="6" t="s">
        <v>518</v>
      </c>
      <c r="AC211" s="6" t="s">
        <v>503</v>
      </c>
    </row>
    <row r="212" spans="1:29">
      <c r="A212" s="6">
        <v>87</v>
      </c>
      <c r="B212" s="6" t="s">
        <v>264</v>
      </c>
      <c r="C212" s="6" t="b">
        <v>0</v>
      </c>
      <c r="D212" s="6" t="s">
        <v>19</v>
      </c>
      <c r="E212" s="6" t="s">
        <v>504</v>
      </c>
      <c r="F212" s="6" t="s">
        <v>499</v>
      </c>
      <c r="G212" s="6" t="s">
        <v>505</v>
      </c>
      <c r="H212" s="6" t="s">
        <v>501</v>
      </c>
      <c r="I212" s="6">
        <v>35.253999999999998</v>
      </c>
      <c r="J212" s="6">
        <v>35.290999999999997</v>
      </c>
      <c r="K212" s="6">
        <v>0.29699999999999999</v>
      </c>
      <c r="S212" s="6" t="b">
        <v>1</v>
      </c>
      <c r="T212" s="6">
        <v>0.16400000000000001</v>
      </c>
      <c r="U212" s="6" t="b">
        <v>1</v>
      </c>
      <c r="V212" s="6">
        <v>3</v>
      </c>
      <c r="W212" s="6">
        <v>30</v>
      </c>
      <c r="X212" s="6" t="s">
        <v>502</v>
      </c>
      <c r="Z212" s="6">
        <v>0.94</v>
      </c>
      <c r="AA212" s="6" t="s">
        <v>503</v>
      </c>
      <c r="AB212" s="6" t="s">
        <v>503</v>
      </c>
      <c r="AC212" s="6" t="s">
        <v>503</v>
      </c>
    </row>
    <row r="213" spans="1:29">
      <c r="A213" s="6">
        <v>88</v>
      </c>
      <c r="B213" s="6" t="s">
        <v>101</v>
      </c>
      <c r="C213" s="6" t="b">
        <v>0</v>
      </c>
      <c r="D213" s="6" t="s">
        <v>530</v>
      </c>
      <c r="E213" s="6" t="s">
        <v>498</v>
      </c>
      <c r="F213" s="6" t="s">
        <v>499</v>
      </c>
      <c r="G213" s="6" t="s">
        <v>500</v>
      </c>
      <c r="H213" s="6" t="s">
        <v>501</v>
      </c>
      <c r="I213" s="6">
        <v>30.172000000000001</v>
      </c>
      <c r="J213" s="6">
        <v>30.155000000000001</v>
      </c>
      <c r="K213" s="6">
        <v>8.5000000000000006E-2</v>
      </c>
      <c r="S213" s="6" t="b">
        <v>1</v>
      </c>
      <c r="T213" s="6">
        <v>0.20699999999999999</v>
      </c>
      <c r="U213" s="6" t="b">
        <v>1</v>
      </c>
      <c r="V213" s="6">
        <v>3</v>
      </c>
      <c r="W213" s="6">
        <v>25</v>
      </c>
      <c r="X213" s="6" t="s">
        <v>502</v>
      </c>
      <c r="Z213" s="6">
        <v>0.94199999999999995</v>
      </c>
      <c r="AA213" s="6" t="s">
        <v>503</v>
      </c>
      <c r="AB213" s="6" t="s">
        <v>503</v>
      </c>
      <c r="AC213" s="6" t="s">
        <v>503</v>
      </c>
    </row>
    <row r="214" spans="1:29">
      <c r="A214" s="6">
        <v>88</v>
      </c>
      <c r="B214" s="6" t="s">
        <v>101</v>
      </c>
      <c r="C214" s="6" t="b">
        <v>0</v>
      </c>
      <c r="D214" s="6" t="s">
        <v>530</v>
      </c>
      <c r="E214" s="6" t="s">
        <v>504</v>
      </c>
      <c r="F214" s="6" t="s">
        <v>499</v>
      </c>
      <c r="G214" s="6" t="s">
        <v>505</v>
      </c>
      <c r="H214" s="6" t="s">
        <v>501</v>
      </c>
      <c r="I214" s="6">
        <v>17.815999999999999</v>
      </c>
      <c r="J214" s="6">
        <v>17.745000000000001</v>
      </c>
      <c r="K214" s="6">
        <v>7.2999999999999995E-2</v>
      </c>
      <c r="S214" s="6" t="b">
        <v>1</v>
      </c>
      <c r="T214" s="6">
        <v>0.16400000000000001</v>
      </c>
      <c r="U214" s="6" t="b">
        <v>1</v>
      </c>
      <c r="V214" s="6">
        <v>3</v>
      </c>
      <c r="W214" s="6">
        <v>13</v>
      </c>
      <c r="X214" s="6" t="s">
        <v>502</v>
      </c>
      <c r="Z214" s="6">
        <v>0.96199999999999997</v>
      </c>
      <c r="AA214" s="6" t="s">
        <v>503</v>
      </c>
      <c r="AB214" s="6" t="s">
        <v>503</v>
      </c>
      <c r="AC214" s="6" t="s">
        <v>503</v>
      </c>
    </row>
    <row r="215" spans="1:29">
      <c r="A215" s="6">
        <v>89</v>
      </c>
      <c r="B215" s="6" t="s">
        <v>102</v>
      </c>
      <c r="C215" s="6" t="b">
        <v>0</v>
      </c>
      <c r="D215" s="6" t="s">
        <v>530</v>
      </c>
      <c r="E215" s="6" t="s">
        <v>498</v>
      </c>
      <c r="F215" s="6" t="s">
        <v>499</v>
      </c>
      <c r="G215" s="6" t="s">
        <v>500</v>
      </c>
      <c r="H215" s="6" t="s">
        <v>501</v>
      </c>
      <c r="I215" s="6">
        <v>30.23</v>
      </c>
      <c r="J215" s="6">
        <v>30.155000000000001</v>
      </c>
      <c r="K215" s="6">
        <v>8.5000000000000006E-2</v>
      </c>
      <c r="S215" s="6" t="b">
        <v>1</v>
      </c>
      <c r="T215" s="6">
        <v>0.20699999999999999</v>
      </c>
      <c r="U215" s="6" t="b">
        <v>1</v>
      </c>
      <c r="V215" s="6">
        <v>3</v>
      </c>
      <c r="W215" s="6">
        <v>25</v>
      </c>
      <c r="X215" s="6" t="s">
        <v>502</v>
      </c>
      <c r="Z215" s="6">
        <v>0.93500000000000005</v>
      </c>
      <c r="AA215" s="6" t="s">
        <v>503</v>
      </c>
      <c r="AB215" s="6" t="s">
        <v>503</v>
      </c>
      <c r="AC215" s="6" t="s">
        <v>503</v>
      </c>
    </row>
    <row r="216" spans="1:29">
      <c r="A216" s="6">
        <v>89</v>
      </c>
      <c r="B216" s="6" t="s">
        <v>102</v>
      </c>
      <c r="C216" s="6" t="b">
        <v>0</v>
      </c>
      <c r="D216" s="6" t="s">
        <v>530</v>
      </c>
      <c r="E216" s="6" t="s">
        <v>504</v>
      </c>
      <c r="F216" s="6" t="s">
        <v>499</v>
      </c>
      <c r="G216" s="6" t="s">
        <v>505</v>
      </c>
      <c r="H216" s="6" t="s">
        <v>501</v>
      </c>
      <c r="I216" s="6">
        <v>17.748000000000001</v>
      </c>
      <c r="J216" s="6">
        <v>17.745000000000001</v>
      </c>
      <c r="K216" s="6">
        <v>7.2999999999999995E-2</v>
      </c>
      <c r="S216" s="6" t="b">
        <v>1</v>
      </c>
      <c r="T216" s="6">
        <v>0.16400000000000001</v>
      </c>
      <c r="U216" s="6" t="b">
        <v>1</v>
      </c>
      <c r="V216" s="6">
        <v>3</v>
      </c>
      <c r="W216" s="6">
        <v>12</v>
      </c>
      <c r="X216" s="6" t="s">
        <v>502</v>
      </c>
      <c r="Z216" s="6">
        <v>0.95499999999999996</v>
      </c>
      <c r="AA216" s="6" t="s">
        <v>503</v>
      </c>
      <c r="AB216" s="6" t="s">
        <v>503</v>
      </c>
      <c r="AC216" s="6" t="s">
        <v>503</v>
      </c>
    </row>
    <row r="217" spans="1:29">
      <c r="A217" s="6">
        <v>90</v>
      </c>
      <c r="B217" s="6" t="s">
        <v>103</v>
      </c>
      <c r="C217" s="6" t="b">
        <v>0</v>
      </c>
      <c r="D217" s="6" t="s">
        <v>530</v>
      </c>
      <c r="E217" s="6" t="s">
        <v>498</v>
      </c>
      <c r="F217" s="6" t="s">
        <v>499</v>
      </c>
      <c r="G217" s="6" t="s">
        <v>500</v>
      </c>
      <c r="H217" s="6" t="s">
        <v>501</v>
      </c>
      <c r="I217" s="6">
        <v>30.062000000000001</v>
      </c>
      <c r="J217" s="6">
        <v>30.155000000000001</v>
      </c>
      <c r="K217" s="6">
        <v>8.5000000000000006E-2</v>
      </c>
      <c r="S217" s="6" t="b">
        <v>1</v>
      </c>
      <c r="T217" s="6">
        <v>0.20699999999999999</v>
      </c>
      <c r="U217" s="6" t="b">
        <v>1</v>
      </c>
      <c r="V217" s="6">
        <v>3</v>
      </c>
      <c r="W217" s="6">
        <v>25</v>
      </c>
      <c r="X217" s="6" t="s">
        <v>502</v>
      </c>
      <c r="Z217" s="6">
        <v>0.95599999999999996</v>
      </c>
      <c r="AA217" s="6" t="s">
        <v>503</v>
      </c>
      <c r="AB217" s="6" t="s">
        <v>503</v>
      </c>
      <c r="AC217" s="6" t="s">
        <v>503</v>
      </c>
    </row>
    <row r="218" spans="1:29">
      <c r="A218" s="6">
        <v>90</v>
      </c>
      <c r="B218" s="6" t="s">
        <v>103</v>
      </c>
      <c r="C218" s="6" t="b">
        <v>0</v>
      </c>
      <c r="D218" s="6" t="s">
        <v>530</v>
      </c>
      <c r="E218" s="6" t="s">
        <v>504</v>
      </c>
      <c r="F218" s="6" t="s">
        <v>499</v>
      </c>
      <c r="G218" s="6" t="s">
        <v>505</v>
      </c>
      <c r="H218" s="6" t="s">
        <v>501</v>
      </c>
      <c r="I218" s="6">
        <v>17.670000000000002</v>
      </c>
      <c r="J218" s="6">
        <v>17.745000000000001</v>
      </c>
      <c r="K218" s="6">
        <v>7.2999999999999995E-2</v>
      </c>
      <c r="S218" s="6" t="b">
        <v>1</v>
      </c>
      <c r="T218" s="6">
        <v>0.16400000000000001</v>
      </c>
      <c r="U218" s="6" t="b">
        <v>1</v>
      </c>
      <c r="V218" s="6">
        <v>3</v>
      </c>
      <c r="W218" s="6">
        <v>12</v>
      </c>
      <c r="X218" s="6" t="s">
        <v>502</v>
      </c>
      <c r="Z218" s="6">
        <v>0.96499999999999997</v>
      </c>
      <c r="AA218" s="6" t="s">
        <v>503</v>
      </c>
      <c r="AB218" s="6" t="s">
        <v>503</v>
      </c>
      <c r="AC218" s="6" t="s">
        <v>503</v>
      </c>
    </row>
    <row r="219" spans="1:29">
      <c r="A219" s="6">
        <v>91</v>
      </c>
      <c r="B219" s="6" t="s">
        <v>104</v>
      </c>
      <c r="C219" s="6" t="b">
        <v>0</v>
      </c>
      <c r="D219" s="6" t="s">
        <v>531</v>
      </c>
      <c r="E219" s="6" t="s">
        <v>498</v>
      </c>
      <c r="F219" s="6" t="s">
        <v>499</v>
      </c>
      <c r="G219" s="6" t="s">
        <v>500</v>
      </c>
      <c r="H219" s="6" t="s">
        <v>501</v>
      </c>
      <c r="I219" s="6">
        <v>31.149000000000001</v>
      </c>
      <c r="J219" s="6">
        <v>31.245999999999999</v>
      </c>
      <c r="K219" s="6">
        <v>8.5000000000000006E-2</v>
      </c>
      <c r="S219" s="6" t="b">
        <v>1</v>
      </c>
      <c r="T219" s="6">
        <v>0.20699999999999999</v>
      </c>
      <c r="U219" s="6" t="b">
        <v>1</v>
      </c>
      <c r="V219" s="6">
        <v>3</v>
      </c>
      <c r="W219" s="6">
        <v>26</v>
      </c>
      <c r="X219" s="6" t="s">
        <v>502</v>
      </c>
      <c r="Z219" s="6">
        <v>0.93799999999999994</v>
      </c>
      <c r="AA219" s="6" t="s">
        <v>503</v>
      </c>
      <c r="AB219" s="6" t="s">
        <v>503</v>
      </c>
      <c r="AC219" s="6" t="s">
        <v>503</v>
      </c>
    </row>
    <row r="220" spans="1:29">
      <c r="A220" s="6">
        <v>91</v>
      </c>
      <c r="B220" s="6" t="s">
        <v>104</v>
      </c>
      <c r="C220" s="6" t="b">
        <v>0</v>
      </c>
      <c r="D220" s="6" t="s">
        <v>531</v>
      </c>
      <c r="E220" s="6" t="s">
        <v>504</v>
      </c>
      <c r="F220" s="6" t="s">
        <v>499</v>
      </c>
      <c r="G220" s="6" t="s">
        <v>505</v>
      </c>
      <c r="H220" s="6" t="s">
        <v>501</v>
      </c>
      <c r="I220" s="6">
        <v>16.093</v>
      </c>
      <c r="J220" s="6">
        <v>16.218</v>
      </c>
      <c r="K220" s="6">
        <v>0.124</v>
      </c>
      <c r="S220" s="6" t="b">
        <v>1</v>
      </c>
      <c r="T220" s="6">
        <v>0.16400000000000001</v>
      </c>
      <c r="U220" s="6" t="b">
        <v>1</v>
      </c>
      <c r="V220" s="6">
        <v>3</v>
      </c>
      <c r="W220" s="6">
        <v>11</v>
      </c>
      <c r="X220" s="6" t="s">
        <v>502</v>
      </c>
      <c r="Z220" s="6">
        <v>0.95499999999999996</v>
      </c>
      <c r="AA220" s="6" t="s">
        <v>503</v>
      </c>
      <c r="AB220" s="6" t="s">
        <v>503</v>
      </c>
      <c r="AC220" s="6" t="s">
        <v>503</v>
      </c>
    </row>
    <row r="221" spans="1:29">
      <c r="A221" s="6">
        <v>92</v>
      </c>
      <c r="B221" s="6" t="s">
        <v>105</v>
      </c>
      <c r="C221" s="6" t="b">
        <v>0</v>
      </c>
      <c r="D221" s="6" t="s">
        <v>531</v>
      </c>
      <c r="E221" s="6" t="s">
        <v>498</v>
      </c>
      <c r="F221" s="6" t="s">
        <v>499</v>
      </c>
      <c r="G221" s="6" t="s">
        <v>500</v>
      </c>
      <c r="H221" s="6" t="s">
        <v>501</v>
      </c>
      <c r="I221" s="6">
        <v>31.308</v>
      </c>
      <c r="J221" s="6">
        <v>31.245999999999999</v>
      </c>
      <c r="K221" s="6">
        <v>8.5000000000000006E-2</v>
      </c>
      <c r="S221" s="6" t="b">
        <v>1</v>
      </c>
      <c r="T221" s="6">
        <v>0.20699999999999999</v>
      </c>
      <c r="U221" s="6" t="b">
        <v>1</v>
      </c>
      <c r="V221" s="6">
        <v>3</v>
      </c>
      <c r="W221" s="6">
        <v>26</v>
      </c>
      <c r="X221" s="6" t="s">
        <v>502</v>
      </c>
      <c r="Z221" s="6">
        <v>0.93400000000000005</v>
      </c>
      <c r="AA221" s="6" t="s">
        <v>503</v>
      </c>
      <c r="AB221" s="6" t="s">
        <v>503</v>
      </c>
      <c r="AC221" s="6" t="s">
        <v>503</v>
      </c>
    </row>
    <row r="222" spans="1:29">
      <c r="A222" s="6">
        <v>92</v>
      </c>
      <c r="B222" s="6" t="s">
        <v>105</v>
      </c>
      <c r="C222" s="6" t="b">
        <v>0</v>
      </c>
      <c r="D222" s="6" t="s">
        <v>531</v>
      </c>
      <c r="E222" s="6" t="s">
        <v>504</v>
      </c>
      <c r="F222" s="6" t="s">
        <v>499</v>
      </c>
      <c r="G222" s="6" t="s">
        <v>505</v>
      </c>
      <c r="H222" s="6" t="s">
        <v>501</v>
      </c>
      <c r="I222" s="6">
        <v>16.22</v>
      </c>
      <c r="J222" s="6">
        <v>16.218</v>
      </c>
      <c r="K222" s="6">
        <v>0.124</v>
      </c>
      <c r="S222" s="6" t="b">
        <v>1</v>
      </c>
      <c r="T222" s="6">
        <v>0.16400000000000001</v>
      </c>
      <c r="U222" s="6" t="b">
        <v>1</v>
      </c>
      <c r="V222" s="6">
        <v>3</v>
      </c>
      <c r="W222" s="6">
        <v>11</v>
      </c>
      <c r="X222" s="6" t="s">
        <v>502</v>
      </c>
      <c r="Z222" s="6">
        <v>0.97099999999999997</v>
      </c>
      <c r="AA222" s="6" t="s">
        <v>503</v>
      </c>
      <c r="AB222" s="6" t="s">
        <v>503</v>
      </c>
      <c r="AC222" s="6" t="s">
        <v>503</v>
      </c>
    </row>
    <row r="223" spans="1:29">
      <c r="A223" s="6">
        <v>93</v>
      </c>
      <c r="B223" s="6" t="s">
        <v>106</v>
      </c>
      <c r="C223" s="6" t="b">
        <v>0</v>
      </c>
      <c r="D223" s="6" t="s">
        <v>531</v>
      </c>
      <c r="E223" s="6" t="s">
        <v>498</v>
      </c>
      <c r="F223" s="6" t="s">
        <v>499</v>
      </c>
      <c r="G223" s="6" t="s">
        <v>500</v>
      </c>
      <c r="H223" s="6" t="s">
        <v>501</v>
      </c>
      <c r="I223" s="6">
        <v>31.280999999999999</v>
      </c>
      <c r="J223" s="6">
        <v>31.245999999999999</v>
      </c>
      <c r="K223" s="6">
        <v>8.5000000000000006E-2</v>
      </c>
      <c r="S223" s="6" t="b">
        <v>1</v>
      </c>
      <c r="T223" s="6">
        <v>0.20699999999999999</v>
      </c>
      <c r="U223" s="6" t="b">
        <v>1</v>
      </c>
      <c r="V223" s="6">
        <v>3</v>
      </c>
      <c r="W223" s="6">
        <v>26</v>
      </c>
      <c r="X223" s="6" t="s">
        <v>502</v>
      </c>
      <c r="Z223" s="6">
        <v>0.95699999999999996</v>
      </c>
      <c r="AA223" s="6" t="s">
        <v>503</v>
      </c>
      <c r="AB223" s="6" t="s">
        <v>503</v>
      </c>
      <c r="AC223" s="6" t="s">
        <v>503</v>
      </c>
    </row>
    <row r="224" spans="1:29">
      <c r="A224" s="6">
        <v>93</v>
      </c>
      <c r="B224" s="6" t="s">
        <v>106</v>
      </c>
      <c r="C224" s="6" t="b">
        <v>0</v>
      </c>
      <c r="D224" s="6" t="s">
        <v>531</v>
      </c>
      <c r="E224" s="6" t="s">
        <v>504</v>
      </c>
      <c r="F224" s="6" t="s">
        <v>499</v>
      </c>
      <c r="G224" s="6" t="s">
        <v>505</v>
      </c>
      <c r="H224" s="6" t="s">
        <v>501</v>
      </c>
      <c r="I224" s="6">
        <v>16.34</v>
      </c>
      <c r="J224" s="6">
        <v>16.218</v>
      </c>
      <c r="K224" s="6">
        <v>0.124</v>
      </c>
      <c r="S224" s="6" t="b">
        <v>1</v>
      </c>
      <c r="T224" s="6">
        <v>0.16400000000000001</v>
      </c>
      <c r="U224" s="6" t="b">
        <v>1</v>
      </c>
      <c r="V224" s="6">
        <v>3</v>
      </c>
      <c r="W224" s="6">
        <v>11</v>
      </c>
      <c r="X224" s="6" t="s">
        <v>502</v>
      </c>
      <c r="Z224" s="6">
        <v>0.96099999999999997</v>
      </c>
      <c r="AA224" s="6" t="s">
        <v>503</v>
      </c>
      <c r="AB224" s="6" t="s">
        <v>503</v>
      </c>
      <c r="AC224" s="6" t="s">
        <v>503</v>
      </c>
    </row>
    <row r="225" spans="1:29">
      <c r="A225" s="6">
        <v>94</v>
      </c>
      <c r="B225" s="6" t="s">
        <v>107</v>
      </c>
      <c r="C225" s="6" t="b">
        <v>0</v>
      </c>
      <c r="D225" s="6" t="s">
        <v>532</v>
      </c>
      <c r="E225" s="6" t="s">
        <v>498</v>
      </c>
      <c r="F225" s="6" t="s">
        <v>499</v>
      </c>
      <c r="G225" s="6" t="s">
        <v>500</v>
      </c>
      <c r="H225" s="6" t="s">
        <v>501</v>
      </c>
      <c r="I225" s="6" t="s">
        <v>528</v>
      </c>
      <c r="S225" s="6" t="b">
        <v>1</v>
      </c>
      <c r="T225" s="6">
        <v>0.20699999999999999</v>
      </c>
      <c r="U225" s="6" t="b">
        <v>1</v>
      </c>
      <c r="V225" s="6">
        <v>3</v>
      </c>
      <c r="W225" s="6">
        <v>44</v>
      </c>
      <c r="X225" s="6" t="s">
        <v>529</v>
      </c>
      <c r="Z225" s="6">
        <v>0</v>
      </c>
      <c r="AA225" s="6" t="s">
        <v>518</v>
      </c>
      <c r="AB225" s="6" t="s">
        <v>518</v>
      </c>
      <c r="AC225" s="6" t="s">
        <v>503</v>
      </c>
    </row>
    <row r="226" spans="1:29">
      <c r="A226" s="6">
        <v>94</v>
      </c>
      <c r="B226" s="6" t="s">
        <v>107</v>
      </c>
      <c r="C226" s="6" t="b">
        <v>0</v>
      </c>
      <c r="D226" s="6" t="s">
        <v>532</v>
      </c>
      <c r="E226" s="6" t="s">
        <v>504</v>
      </c>
      <c r="F226" s="6" t="s">
        <v>499</v>
      </c>
      <c r="G226" s="6" t="s">
        <v>505</v>
      </c>
      <c r="H226" s="6" t="s">
        <v>501</v>
      </c>
      <c r="I226" s="6">
        <v>29.428999999999998</v>
      </c>
      <c r="J226" s="6">
        <v>29.738</v>
      </c>
      <c r="K226" s="6">
        <v>0.48099999999999998</v>
      </c>
      <c r="S226" s="6" t="b">
        <v>1</v>
      </c>
      <c r="T226" s="6">
        <v>0.16400000000000001</v>
      </c>
      <c r="U226" s="6" t="b">
        <v>1</v>
      </c>
      <c r="V226" s="6">
        <v>3</v>
      </c>
      <c r="W226" s="6">
        <v>24</v>
      </c>
      <c r="X226" s="6" t="s">
        <v>502</v>
      </c>
      <c r="Z226" s="6">
        <v>0.95099999999999996</v>
      </c>
      <c r="AA226" s="6" t="s">
        <v>503</v>
      </c>
      <c r="AB226" s="6" t="s">
        <v>503</v>
      </c>
      <c r="AC226" s="6" t="s">
        <v>503</v>
      </c>
    </row>
    <row r="227" spans="1:29">
      <c r="A227" s="6">
        <v>95</v>
      </c>
      <c r="B227" s="6" t="s">
        <v>108</v>
      </c>
      <c r="C227" s="6" t="b">
        <v>0</v>
      </c>
      <c r="D227" s="6" t="s">
        <v>532</v>
      </c>
      <c r="E227" s="6" t="s">
        <v>498</v>
      </c>
      <c r="F227" s="6" t="s">
        <v>499</v>
      </c>
      <c r="G227" s="6" t="s">
        <v>500</v>
      </c>
      <c r="H227" s="6" t="s">
        <v>501</v>
      </c>
      <c r="I227" s="6" t="s">
        <v>528</v>
      </c>
      <c r="S227" s="6" t="b">
        <v>1</v>
      </c>
      <c r="T227" s="6">
        <v>0.20699999999999999</v>
      </c>
      <c r="U227" s="6" t="b">
        <v>1</v>
      </c>
      <c r="V227" s="6">
        <v>3</v>
      </c>
      <c r="W227" s="6">
        <v>44</v>
      </c>
      <c r="X227" s="6" t="s">
        <v>529</v>
      </c>
      <c r="Z227" s="6">
        <v>0</v>
      </c>
      <c r="AA227" s="6" t="s">
        <v>518</v>
      </c>
      <c r="AB227" s="6" t="s">
        <v>518</v>
      </c>
      <c r="AC227" s="6" t="s">
        <v>503</v>
      </c>
    </row>
    <row r="228" spans="1:29">
      <c r="A228" s="6">
        <v>95</v>
      </c>
      <c r="B228" s="6" t="s">
        <v>108</v>
      </c>
      <c r="C228" s="6" t="b">
        <v>0</v>
      </c>
      <c r="D228" s="6" t="s">
        <v>532</v>
      </c>
      <c r="E228" s="6" t="s">
        <v>504</v>
      </c>
      <c r="F228" s="6" t="s">
        <v>499</v>
      </c>
      <c r="G228" s="6" t="s">
        <v>505</v>
      </c>
      <c r="H228" s="6" t="s">
        <v>501</v>
      </c>
      <c r="I228" s="6">
        <v>30.292000000000002</v>
      </c>
      <c r="J228" s="6">
        <v>29.738</v>
      </c>
      <c r="K228" s="6">
        <v>0.48099999999999998</v>
      </c>
      <c r="S228" s="6" t="b">
        <v>1</v>
      </c>
      <c r="T228" s="6">
        <v>0.16400000000000001</v>
      </c>
      <c r="U228" s="6" t="b">
        <v>1</v>
      </c>
      <c r="V228" s="6">
        <v>3</v>
      </c>
      <c r="W228" s="6">
        <v>25</v>
      </c>
      <c r="X228" s="6" t="s">
        <v>502</v>
      </c>
      <c r="Z228" s="6">
        <v>0.94199999999999995</v>
      </c>
      <c r="AA228" s="6" t="s">
        <v>503</v>
      </c>
      <c r="AB228" s="6" t="s">
        <v>503</v>
      </c>
      <c r="AC228" s="6" t="s">
        <v>503</v>
      </c>
    </row>
    <row r="229" spans="1:29">
      <c r="A229" s="6">
        <v>96</v>
      </c>
      <c r="B229" s="6" t="s">
        <v>109</v>
      </c>
      <c r="C229" s="6" t="b">
        <v>0</v>
      </c>
      <c r="D229" s="6" t="s">
        <v>532</v>
      </c>
      <c r="E229" s="6" t="s">
        <v>498</v>
      </c>
      <c r="F229" s="6" t="s">
        <v>499</v>
      </c>
      <c r="G229" s="6" t="s">
        <v>500</v>
      </c>
      <c r="H229" s="6" t="s">
        <v>501</v>
      </c>
      <c r="I229" s="6" t="s">
        <v>528</v>
      </c>
      <c r="S229" s="6" t="b">
        <v>1</v>
      </c>
      <c r="T229" s="6">
        <v>0.20699999999999999</v>
      </c>
      <c r="U229" s="6" t="b">
        <v>1</v>
      </c>
      <c r="V229" s="6">
        <v>3</v>
      </c>
      <c r="W229" s="6">
        <v>44</v>
      </c>
      <c r="X229" s="6" t="s">
        <v>529</v>
      </c>
      <c r="Z229" s="6">
        <v>0</v>
      </c>
      <c r="AA229" s="6" t="s">
        <v>518</v>
      </c>
      <c r="AB229" s="6" t="s">
        <v>518</v>
      </c>
      <c r="AC229" s="6" t="s">
        <v>503</v>
      </c>
    </row>
    <row r="230" spans="1:29">
      <c r="A230" s="6">
        <v>96</v>
      </c>
      <c r="B230" s="6" t="s">
        <v>109</v>
      </c>
      <c r="C230" s="6" t="b">
        <v>0</v>
      </c>
      <c r="D230" s="6" t="s">
        <v>532</v>
      </c>
      <c r="E230" s="6" t="s">
        <v>504</v>
      </c>
      <c r="F230" s="6" t="s">
        <v>499</v>
      </c>
      <c r="G230" s="6" t="s">
        <v>505</v>
      </c>
      <c r="H230" s="6" t="s">
        <v>501</v>
      </c>
      <c r="I230" s="6">
        <v>29.492000000000001</v>
      </c>
      <c r="J230" s="6">
        <v>29.738</v>
      </c>
      <c r="K230" s="6">
        <v>0.48099999999999998</v>
      </c>
      <c r="S230" s="6" t="b">
        <v>1</v>
      </c>
      <c r="T230" s="6">
        <v>0.16400000000000001</v>
      </c>
      <c r="U230" s="6" t="b">
        <v>1</v>
      </c>
      <c r="V230" s="6">
        <v>3</v>
      </c>
      <c r="W230" s="6">
        <v>24</v>
      </c>
      <c r="X230" s="6" t="s">
        <v>502</v>
      </c>
      <c r="Z230" s="6">
        <v>0.95699999999999996</v>
      </c>
      <c r="AA230" s="6" t="s">
        <v>503</v>
      </c>
      <c r="AB230" s="6" t="s">
        <v>503</v>
      </c>
      <c r="AC230" s="6" t="s">
        <v>503</v>
      </c>
    </row>
  </sheetData>
  <sheetProtection algorithmName="SHA-512" hashValue="Q8atRZOk/3AawniyzvUdg0S7UiTb5xXwjg7v1FE3KvGGmPX+TkfPUmzB3baOs5ZmOJnv/h5EPMjcYbMeIBYHvA==" saltValue="Uvu0w33pXwhNrBkno5P56Q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A0C1E-97E4-483E-94DD-D7B07430B88F}">
  <sheetPr codeName="Sheet11"/>
  <dimension ref="B3:AF41"/>
  <sheetViews>
    <sheetView topLeftCell="N1" zoomScale="80" zoomScaleNormal="80" workbookViewId="0">
      <selection activeCell="W9" sqref="W9"/>
    </sheetView>
  </sheetViews>
  <sheetFormatPr defaultRowHeight="14.5"/>
  <cols>
    <col min="22" max="22" width="28.7265625" bestFit="1" customWidth="1"/>
    <col min="32" max="32" width="28.7265625" bestFit="1" customWidth="1"/>
  </cols>
  <sheetData>
    <row r="3" spans="2:32">
      <c r="B3" s="10" t="s">
        <v>359</v>
      </c>
      <c r="P3" s="10" t="s">
        <v>361</v>
      </c>
      <c r="Z3" s="10" t="s">
        <v>363</v>
      </c>
    </row>
    <row r="4" spans="2:32">
      <c r="P4" s="10"/>
      <c r="Z4" s="10"/>
    </row>
    <row r="5" spans="2:32">
      <c r="B5" s="4"/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4">
        <v>12</v>
      </c>
      <c r="P5" s="24" t="s">
        <v>267</v>
      </c>
      <c r="Q5" s="24" t="s">
        <v>268</v>
      </c>
      <c r="R5" s="24" t="s">
        <v>269</v>
      </c>
      <c r="S5" s="24" t="s">
        <v>270</v>
      </c>
      <c r="T5" s="24" t="s">
        <v>166</v>
      </c>
      <c r="U5" s="24" t="s">
        <v>293</v>
      </c>
      <c r="V5" s="5" t="s">
        <v>295</v>
      </c>
      <c r="Z5" s="24" t="s">
        <v>267</v>
      </c>
      <c r="AA5" s="24" t="s">
        <v>268</v>
      </c>
      <c r="AB5" s="24" t="s">
        <v>269</v>
      </c>
      <c r="AC5" s="24" t="s">
        <v>270</v>
      </c>
      <c r="AD5" s="24" t="s">
        <v>166</v>
      </c>
      <c r="AE5" s="24" t="s">
        <v>293</v>
      </c>
      <c r="AF5" s="5" t="s">
        <v>295</v>
      </c>
    </row>
    <row r="6" spans="2:32">
      <c r="B6" s="4" t="s">
        <v>11</v>
      </c>
      <c r="C6" s="4">
        <f t="array" ref="C6">IF(VLOOKUP($B6&amp;C$5&amp;"FAM",CHOOSE({1,2},TRIM('QS Raw Results'!$B$41:$B$233)&amp;TRIM('QS Raw Results'!$G$41:$G$233),'QS Raw Results'!$I$41:$I$233),2,FALSE)="Undetermined",0,VLOOKUP($B6&amp;C$5&amp;"FAM",CHOOSE({1,2},TRIM('QS Raw Results'!$B$41:$B$233)&amp;TRIM('QS Raw Results'!$G$41:$G$233),'QS Raw Results'!$I$41:$I$233),2,FALSE))</f>
        <v>21.844000000000001</v>
      </c>
      <c r="D6" s="4">
        <f t="array" ref="D6">IF(VLOOKUP($B6&amp;D$5&amp;"FAM",CHOOSE({1,2},TRIM('QS Raw Results'!$B$41:$B$233)&amp;TRIM('QS Raw Results'!$G$41:$G$233),'QS Raw Results'!$I$41:$I$233),2,FALSE)="Undetermined",0,VLOOKUP($B6&amp;D$5&amp;"FAM",CHOOSE({1,2},TRIM('QS Raw Results'!$B$41:$B$233)&amp;TRIM('QS Raw Results'!$G$41:$G$233),'QS Raw Results'!$I$41:$I$233),2,FALSE))</f>
        <v>21.873999999999999</v>
      </c>
      <c r="E6" s="4">
        <f t="array" ref="E6">IF(VLOOKUP($B6&amp;E$5&amp;"FAM",CHOOSE({1,2},TRIM('QS Raw Results'!$B$41:$B$233)&amp;TRIM('QS Raw Results'!$G$41:$G$233),'QS Raw Results'!$I$41:$I$233),2,FALSE)="Undetermined",0,VLOOKUP($B6&amp;E$5&amp;"FAM",CHOOSE({1,2},TRIM('QS Raw Results'!$B$41:$B$233)&amp;TRIM('QS Raw Results'!$G$41:$G$233),'QS Raw Results'!$I$41:$I$233),2,FALSE))</f>
        <v>22.088999999999999</v>
      </c>
      <c r="F6" s="4">
        <f t="array" ref="F6">IF(VLOOKUP($B6&amp;F$5&amp;"FAM",CHOOSE({1,2},TRIM('QS Raw Results'!$B$41:$B$233)&amp;TRIM('QS Raw Results'!$G$41:$G$233),'QS Raw Results'!$I$41:$I$233),2,FALSE)="Undetermined",0,VLOOKUP($B6&amp;F$5&amp;"FAM",CHOOSE({1,2},TRIM('QS Raw Results'!$B$41:$B$233)&amp;TRIM('QS Raw Results'!$G$41:$G$233),'QS Raw Results'!$I$41:$I$233),2,FALSE))</f>
        <v>32.4</v>
      </c>
      <c r="G6" s="4">
        <f t="array" ref="G6">IF(VLOOKUP($B6&amp;G$5&amp;"FAM",CHOOSE({1,2},TRIM('QS Raw Results'!$B$41:$B$233)&amp;TRIM('QS Raw Results'!$G$41:$G$233),'QS Raw Results'!$I$41:$I$233),2,FALSE)="Undetermined",0,VLOOKUP($B6&amp;G$5&amp;"FAM",CHOOSE({1,2},TRIM('QS Raw Results'!$B$41:$B$233)&amp;TRIM('QS Raw Results'!$G$41:$G$233),'QS Raw Results'!$I$41:$I$233),2,FALSE))</f>
        <v>32.847000000000001</v>
      </c>
      <c r="H6" s="4">
        <f t="array" ref="H6">IF(VLOOKUP($B6&amp;H$5&amp;"FAM",CHOOSE({1,2},TRIM('QS Raw Results'!$B$41:$B$233)&amp;TRIM('QS Raw Results'!$G$41:$G$233),'QS Raw Results'!$I$41:$I$233),2,FALSE)="Undetermined",0,VLOOKUP($B6&amp;H$5&amp;"FAM",CHOOSE({1,2},TRIM('QS Raw Results'!$B$41:$B$233)&amp;TRIM('QS Raw Results'!$G$41:$G$233),'QS Raw Results'!$I$41:$I$233),2,FALSE))</f>
        <v>32.975000000000001</v>
      </c>
      <c r="I6" s="4">
        <f t="array" ref="I6">IF(VLOOKUP($B6&amp;I$5&amp;"FAM",CHOOSE({1,2},TRIM('QS Raw Results'!$B$41:$B$233)&amp;TRIM('QS Raw Results'!$G$41:$G$233),'QS Raw Results'!$I$41:$I$233),2,FALSE)="Undetermined",0,VLOOKUP($B6&amp;I$5&amp;"FAM",CHOOSE({1,2},TRIM('QS Raw Results'!$B$41:$B$233)&amp;TRIM('QS Raw Results'!$G$41:$G$233),'QS Raw Results'!$I$41:$I$233),2,FALSE))</f>
        <v>26.863</v>
      </c>
      <c r="J6" s="4">
        <f t="array" ref="J6">IF(VLOOKUP($B6&amp;J$5&amp;"FAM",CHOOSE({1,2},TRIM('QS Raw Results'!$B$41:$B$233)&amp;TRIM('QS Raw Results'!$G$41:$G$233),'QS Raw Results'!$I$41:$I$233),2,FALSE)="Undetermined",0,VLOOKUP($B6&amp;J$5&amp;"FAM",CHOOSE({1,2},TRIM('QS Raw Results'!$B$41:$B$233)&amp;TRIM('QS Raw Results'!$G$41:$G$233),'QS Raw Results'!$I$41:$I$233),2,FALSE))</f>
        <v>26.876000000000001</v>
      </c>
      <c r="K6" s="4">
        <f t="array" ref="K6">IF(VLOOKUP($B6&amp;K$5&amp;"FAM",CHOOSE({1,2},TRIM('QS Raw Results'!$B$41:$B$233)&amp;TRIM('QS Raw Results'!$G$41:$G$233),'QS Raw Results'!$I$41:$I$233),2,FALSE)="Undetermined",0,VLOOKUP($B6&amp;K$5&amp;"FAM",CHOOSE({1,2},TRIM('QS Raw Results'!$B$41:$B$233)&amp;TRIM('QS Raw Results'!$G$41:$G$233),'QS Raw Results'!$I$41:$I$233),2,FALSE))</f>
        <v>26.937999999999999</v>
      </c>
      <c r="L6" s="4">
        <f t="array" ref="L6">IF(VLOOKUP($B6&amp;L$5&amp;"FAM",CHOOSE({1,2},TRIM('QS Raw Results'!$B$41:$B$233)&amp;TRIM('QS Raw Results'!$G$41:$G$233),'QS Raw Results'!$I$41:$I$233),2,FALSE)="Undetermined",0,VLOOKUP($B6&amp;L$5&amp;"FAM",CHOOSE({1,2},TRIM('QS Raw Results'!$B$41:$B$233)&amp;TRIM('QS Raw Results'!$G$41:$G$233),'QS Raw Results'!$I$41:$I$233),2,FALSE))</f>
        <v>31.992999999999999</v>
      </c>
      <c r="M6" s="4">
        <f t="array" ref="M6">IF(VLOOKUP($B6&amp;M$5&amp;"FAM",CHOOSE({1,2},TRIM('QS Raw Results'!$B$41:$B$233)&amp;TRIM('QS Raw Results'!$G$41:$G$233),'QS Raw Results'!$I$41:$I$233),2,FALSE)="Undetermined",0,VLOOKUP($B6&amp;M$5&amp;"FAM",CHOOSE({1,2},TRIM('QS Raw Results'!$B$41:$B$233)&amp;TRIM('QS Raw Results'!$G$41:$G$233),'QS Raw Results'!$I$41:$I$233),2,FALSE))</f>
        <v>32.256999999999998</v>
      </c>
      <c r="N6" s="4">
        <f t="array" ref="N6">IF(VLOOKUP($B6&amp;N$5&amp;"FAM",CHOOSE({1,2},TRIM('QS Raw Results'!$B$41:$B$233)&amp;TRIM('QS Raw Results'!$G$41:$G$233),'QS Raw Results'!$I$41:$I$233),2,FALSE)="Undetermined",0,VLOOKUP($B6&amp;N$5&amp;"FAM",CHOOSE({1,2},TRIM('QS Raw Results'!$B$41:$B$233)&amp;TRIM('QS Raw Results'!$G$41:$G$233),'QS Raw Results'!$I$41:$I$233),2,FALSE))</f>
        <v>32.329000000000001</v>
      </c>
      <c r="P6" s="3" t="s">
        <v>274</v>
      </c>
      <c r="Q6" s="2">
        <f t="array" ref="Q6:S6">C6:E6</f>
        <v>21.844000000000001</v>
      </c>
      <c r="R6" s="2">
        <v>21.873999999999999</v>
      </c>
      <c r="S6" s="2">
        <v>22.088999999999999</v>
      </c>
      <c r="T6" s="2">
        <f>IFERROR(AVERAGEIF(_xlfn.ANCHORARRAY(Q6),"&lt;&gt;0"),0)</f>
        <v>21.935666666666666</v>
      </c>
      <c r="U6" s="2">
        <f>IFERROR((_xlfn.STDEV.P(Q6:S6)/SQRT(3)),0)</f>
        <v>6.2996178602503061E-2</v>
      </c>
      <c r="V6" s="2">
        <f>IF(T6=0,0,10^((T6-'QS RNase P Analysis'!$R$34)/'QS RNase P Analysis'!$R$35))</f>
        <v>137416.3906427091</v>
      </c>
      <c r="Z6" s="3" t="s">
        <v>274</v>
      </c>
      <c r="AA6" s="2">
        <f t="array" ref="AA6:AC6">C19:E19</f>
        <v>13.061</v>
      </c>
      <c r="AB6" s="2">
        <v>13.081</v>
      </c>
      <c r="AC6" s="2">
        <v>13.243</v>
      </c>
      <c r="AD6" s="2">
        <f>IFERROR(AVERAGEIF(_xlfn.ANCHORARRAY(AA6),"&lt;&gt;0"),0)</f>
        <v>13.128333333333332</v>
      </c>
      <c r="AE6" s="2">
        <f>IFERROR((_xlfn.STDEV.P(AA6:AC6)/SQRT(3)),0)</f>
        <v>4.7049225600743358E-2</v>
      </c>
      <c r="AF6" s="2">
        <f>IF(AD6=0,0,10^((AD6-'QS 16S Analysis'!$R$34)/'QS 16S Analysis'!$R$35))</f>
        <v>19397.464977356689</v>
      </c>
    </row>
    <row r="7" spans="2:32">
      <c r="B7" s="4" t="s">
        <v>12</v>
      </c>
      <c r="C7" s="4">
        <f t="array" ref="C7">IF(VLOOKUP($B7&amp;C$5&amp;"FAM",CHOOSE({1,2},TRIM('QS Raw Results'!$B$41:$B$233)&amp;TRIM('QS Raw Results'!$G$41:$G$233),'QS Raw Results'!$I$41:$I$233),2,FALSE)="Undetermined",0,VLOOKUP($B7&amp;C$5&amp;"FAM",CHOOSE({1,2},TRIM('QS Raw Results'!$B$41:$B$233)&amp;TRIM('QS Raw Results'!$G$41:$G$233),'QS Raw Results'!$I$41:$I$233),2,FALSE))</f>
        <v>24.036000000000001</v>
      </c>
      <c r="D7" s="4">
        <f t="array" ref="D7">IF(VLOOKUP($B7&amp;D$5&amp;"FAM",CHOOSE({1,2},TRIM('QS Raw Results'!$B$41:$B$233)&amp;TRIM('QS Raw Results'!$G$41:$G$233),'QS Raw Results'!$I$41:$I$233),2,FALSE)="Undetermined",0,VLOOKUP($B7&amp;D$5&amp;"FAM",CHOOSE({1,2},TRIM('QS Raw Results'!$B$41:$B$233)&amp;TRIM('QS Raw Results'!$G$41:$G$233),'QS Raw Results'!$I$41:$I$233),2,FALSE))</f>
        <v>24.010999999999999</v>
      </c>
      <c r="E7" s="4">
        <f t="array" ref="E7">IF(VLOOKUP($B7&amp;E$5&amp;"FAM",CHOOSE({1,2},TRIM('QS Raw Results'!$B$41:$B$233)&amp;TRIM('QS Raw Results'!$G$41:$G$233),'QS Raw Results'!$I$41:$I$233),2,FALSE)="Undetermined",0,VLOOKUP($B7&amp;E$5&amp;"FAM",CHOOSE({1,2},TRIM('QS Raw Results'!$B$41:$B$233)&amp;TRIM('QS Raw Results'!$G$41:$G$233),'QS Raw Results'!$I$41:$I$233),2,FALSE))</f>
        <v>23.974</v>
      </c>
      <c r="F7" s="4">
        <f t="array" ref="F7">IF(VLOOKUP($B7&amp;F$5&amp;"FAM",CHOOSE({1,2},TRIM('QS Raw Results'!$B$41:$B$233)&amp;TRIM('QS Raw Results'!$G$41:$G$233),'QS Raw Results'!$I$41:$I$233),2,FALSE)="Undetermined",0,VLOOKUP($B7&amp;F$5&amp;"FAM",CHOOSE({1,2},TRIM('QS Raw Results'!$B$41:$B$233)&amp;TRIM('QS Raw Results'!$G$41:$G$233),'QS Raw Results'!$I$41:$I$233),2,FALSE))</f>
        <v>31.687000000000001</v>
      </c>
      <c r="G7" s="4">
        <f t="array" ref="G7">IF(VLOOKUP($B7&amp;G$5&amp;"FAM",CHOOSE({1,2},TRIM('QS Raw Results'!$B$41:$B$233)&amp;TRIM('QS Raw Results'!$G$41:$G$233),'QS Raw Results'!$I$41:$I$233),2,FALSE)="Undetermined",0,VLOOKUP($B7&amp;G$5&amp;"FAM",CHOOSE({1,2},TRIM('QS Raw Results'!$B$41:$B$233)&amp;TRIM('QS Raw Results'!$G$41:$G$233),'QS Raw Results'!$I$41:$I$233),2,FALSE))</f>
        <v>31.850999999999999</v>
      </c>
      <c r="H7" s="4">
        <f t="array" ref="H7">IF(VLOOKUP($B7&amp;H$5&amp;"FAM",CHOOSE({1,2},TRIM('QS Raw Results'!$B$41:$B$233)&amp;TRIM('QS Raw Results'!$G$41:$G$233),'QS Raw Results'!$I$41:$I$233),2,FALSE)="Undetermined",0,VLOOKUP($B7&amp;H$5&amp;"FAM",CHOOSE({1,2},TRIM('QS Raw Results'!$B$41:$B$233)&amp;TRIM('QS Raw Results'!$G$41:$G$233),'QS Raw Results'!$I$41:$I$233),2,FALSE))</f>
        <v>31.902999999999999</v>
      </c>
      <c r="I7" s="4">
        <f t="array" ref="I7">IF(VLOOKUP($B7&amp;I$5&amp;"FAM",CHOOSE({1,2},TRIM('QS Raw Results'!$B$41:$B$233)&amp;TRIM('QS Raw Results'!$G$41:$G$233),'QS Raw Results'!$I$41:$I$233),2,FALSE)="Undetermined",0,VLOOKUP($B7&amp;I$5&amp;"FAM",CHOOSE({1,2},TRIM('QS Raw Results'!$B$41:$B$233)&amp;TRIM('QS Raw Results'!$G$41:$G$233),'QS Raw Results'!$I$41:$I$233),2,FALSE))</f>
        <v>29.748999999999999</v>
      </c>
      <c r="J7" s="4">
        <f t="array" ref="J7">IF(VLOOKUP($B7&amp;J$5&amp;"FAM",CHOOSE({1,2},TRIM('QS Raw Results'!$B$41:$B$233)&amp;TRIM('QS Raw Results'!$G$41:$G$233),'QS Raw Results'!$I$41:$I$233),2,FALSE)="Undetermined",0,VLOOKUP($B7&amp;J$5&amp;"FAM",CHOOSE({1,2},TRIM('QS Raw Results'!$B$41:$B$233)&amp;TRIM('QS Raw Results'!$G$41:$G$233),'QS Raw Results'!$I$41:$I$233),2,FALSE))</f>
        <v>29.599</v>
      </c>
      <c r="K7" s="4">
        <f t="array" ref="K7">IF(VLOOKUP($B7&amp;K$5&amp;"FAM",CHOOSE({1,2},TRIM('QS Raw Results'!$B$41:$B$233)&amp;TRIM('QS Raw Results'!$G$41:$G$233),'QS Raw Results'!$I$41:$I$233),2,FALSE)="Undetermined",0,VLOOKUP($B7&amp;K$5&amp;"FAM",CHOOSE({1,2},TRIM('QS Raw Results'!$B$41:$B$233)&amp;TRIM('QS Raw Results'!$G$41:$G$233),'QS Raw Results'!$I$41:$I$233),2,FALSE))</f>
        <v>29.632999999999999</v>
      </c>
      <c r="L7" s="4">
        <f t="array" ref="L7">IF(VLOOKUP($B7&amp;L$5&amp;"FAM",CHOOSE({1,2},TRIM('QS Raw Results'!$B$41:$B$233)&amp;TRIM('QS Raw Results'!$G$41:$G$233),'QS Raw Results'!$I$41:$I$233),2,FALSE)="Undetermined",0,VLOOKUP($B7&amp;L$5&amp;"FAM",CHOOSE({1,2},TRIM('QS Raw Results'!$B$41:$B$233)&amp;TRIM('QS Raw Results'!$G$41:$G$233),'QS Raw Results'!$I$41:$I$233),2,FALSE))</f>
        <v>32.398000000000003</v>
      </c>
      <c r="M7" s="4">
        <f t="array" ref="M7">IF(VLOOKUP($B7&amp;M$5&amp;"FAM",CHOOSE({1,2},TRIM('QS Raw Results'!$B$41:$B$233)&amp;TRIM('QS Raw Results'!$G$41:$G$233),'QS Raw Results'!$I$41:$I$233),2,FALSE)="Undetermined",0,VLOOKUP($B7&amp;M$5&amp;"FAM",CHOOSE({1,2},TRIM('QS Raw Results'!$B$41:$B$233)&amp;TRIM('QS Raw Results'!$G$41:$G$233),'QS Raw Results'!$I$41:$I$233),2,FALSE))</f>
        <v>32.598999999999997</v>
      </c>
      <c r="N7" s="4">
        <f t="array" ref="N7">IF(VLOOKUP($B7&amp;N$5&amp;"FAM",CHOOSE({1,2},TRIM('QS Raw Results'!$B$41:$B$233)&amp;TRIM('QS Raw Results'!$G$41:$G$233),'QS Raw Results'!$I$41:$I$233),2,FALSE)="Undetermined",0,VLOOKUP($B7&amp;N$5&amp;"FAM",CHOOSE({1,2},TRIM('QS Raw Results'!$B$41:$B$233)&amp;TRIM('QS Raw Results'!$G$41:$G$233),'QS Raw Results'!$I$41:$I$233),2,FALSE))</f>
        <v>32.378</v>
      </c>
      <c r="P7" s="3" t="s">
        <v>275</v>
      </c>
      <c r="Q7" s="2">
        <f t="array" ref="Q7:S7">C7:E7</f>
        <v>24.036000000000001</v>
      </c>
      <c r="R7" s="2">
        <v>24.010999999999999</v>
      </c>
      <c r="S7" s="2">
        <v>23.974</v>
      </c>
      <c r="T7" s="2">
        <f>IFERROR(AVERAGEIF(_xlfn.ANCHORARRAY(Q7),"&lt;&gt;0"),0)</f>
        <v>24.007000000000001</v>
      </c>
      <c r="U7" s="2">
        <f t="shared" ref="U7:U11" si="0">IFERROR((_xlfn.STDEV.P(Q7:S7)/SQRT(3)),0)</f>
        <v>1.4704496666742077E-2</v>
      </c>
      <c r="V7" s="2">
        <f>IF(T7=0,0,10^((T7-'QS RNase P Analysis'!$R$34)/'QS RNase P Analysis'!$R$35))</f>
        <v>35213.248853490913</v>
      </c>
      <c r="Z7" s="3" t="s">
        <v>275</v>
      </c>
      <c r="AA7" s="2">
        <f t="array" ref="AA7:AC7">C20:E20</f>
        <v>16.265000000000001</v>
      </c>
      <c r="AB7" s="2">
        <v>16.202000000000002</v>
      </c>
      <c r="AC7" s="2">
        <v>16.138999999999999</v>
      </c>
      <c r="AD7" s="2">
        <f>IFERROR(AVERAGEIF(_xlfn.ANCHORARRAY(AA7),"&lt;&gt;0"),0)</f>
        <v>16.201999999999998</v>
      </c>
      <c r="AE7" s="2">
        <f>IFERROR((_xlfn.STDEV.P(AA7:AC7)/SQRT(3)),0)</f>
        <v>2.9698484809835286E-2</v>
      </c>
      <c r="AF7" s="2">
        <f>IF(AD7=0,0,10^((AD7-'QS 16S Analysis'!$R$34)/'QS 16S Analysis'!$R$35))</f>
        <v>2733.6508234025468</v>
      </c>
    </row>
    <row r="8" spans="2:32">
      <c r="B8" s="4" t="s">
        <v>13</v>
      </c>
      <c r="C8" s="4">
        <f t="array" ref="C8">IF(VLOOKUP($B8&amp;C$5&amp;"FAM",CHOOSE({1,2},TRIM('QS Raw Results'!$B$41:$B$233)&amp;TRIM('QS Raw Results'!$G$41:$G$233),'QS Raw Results'!$I$41:$I$233),2,FALSE)="Undetermined",0,VLOOKUP($B8&amp;C$5&amp;"FAM",CHOOSE({1,2},TRIM('QS Raw Results'!$B$41:$B$233)&amp;TRIM('QS Raw Results'!$G$41:$G$233),'QS Raw Results'!$I$41:$I$233),2,FALSE))</f>
        <v>26.28</v>
      </c>
      <c r="D8" s="4">
        <f t="array" ref="D8">IF(VLOOKUP($B8&amp;D$5&amp;"FAM",CHOOSE({1,2},TRIM('QS Raw Results'!$B$41:$B$233)&amp;TRIM('QS Raw Results'!$G$41:$G$233),'QS Raw Results'!$I$41:$I$233),2,FALSE)="Undetermined",0,VLOOKUP($B8&amp;D$5&amp;"FAM",CHOOSE({1,2},TRIM('QS Raw Results'!$B$41:$B$233)&amp;TRIM('QS Raw Results'!$G$41:$G$233),'QS Raw Results'!$I$41:$I$233),2,FALSE))</f>
        <v>26.151</v>
      </c>
      <c r="E8" s="4">
        <f t="array" ref="E8">IF(VLOOKUP($B8&amp;E$5&amp;"FAM",CHOOSE({1,2},TRIM('QS Raw Results'!$B$41:$B$233)&amp;TRIM('QS Raw Results'!$G$41:$G$233),'QS Raw Results'!$I$41:$I$233),2,FALSE)="Undetermined",0,VLOOKUP($B8&amp;E$5&amp;"FAM",CHOOSE({1,2},TRIM('QS Raw Results'!$B$41:$B$233)&amp;TRIM('QS Raw Results'!$G$41:$G$233),'QS Raw Results'!$I$41:$I$233),2,FALSE))</f>
        <v>26.256</v>
      </c>
      <c r="F8" s="4">
        <f t="array" ref="F8">IF(VLOOKUP($B8&amp;F$5&amp;"FAM",CHOOSE({1,2},TRIM('QS Raw Results'!$B$41:$B$233)&amp;TRIM('QS Raw Results'!$G$41:$G$233),'QS Raw Results'!$I$41:$I$233),2,FALSE)="Undetermined",0,VLOOKUP($B8&amp;F$5&amp;"FAM",CHOOSE({1,2},TRIM('QS Raw Results'!$B$41:$B$233)&amp;TRIM('QS Raw Results'!$G$41:$G$233),'QS Raw Results'!$I$41:$I$233),2,FALSE))</f>
        <v>29.847000000000001</v>
      </c>
      <c r="G8" s="4">
        <f t="array" ref="G8">IF(VLOOKUP($B8&amp;G$5&amp;"FAM",CHOOSE({1,2},TRIM('QS Raw Results'!$B$41:$B$233)&amp;TRIM('QS Raw Results'!$G$41:$G$233),'QS Raw Results'!$I$41:$I$233),2,FALSE)="Undetermined",0,VLOOKUP($B8&amp;G$5&amp;"FAM",CHOOSE({1,2},TRIM('QS Raw Results'!$B$41:$B$233)&amp;TRIM('QS Raw Results'!$G$41:$G$233),'QS Raw Results'!$I$41:$I$233),2,FALSE))</f>
        <v>30.192</v>
      </c>
      <c r="H8" s="4">
        <f t="array" ref="H8">IF(VLOOKUP($B8&amp;H$5&amp;"FAM",CHOOSE({1,2},TRIM('QS Raw Results'!$B$41:$B$233)&amp;TRIM('QS Raw Results'!$G$41:$G$233),'QS Raw Results'!$I$41:$I$233),2,FALSE)="Undetermined",0,VLOOKUP($B8&amp;H$5&amp;"FAM",CHOOSE({1,2},TRIM('QS Raw Results'!$B$41:$B$233)&amp;TRIM('QS Raw Results'!$G$41:$G$233),'QS Raw Results'!$I$41:$I$233),2,FALSE))</f>
        <v>30.452999999999999</v>
      </c>
      <c r="I8" s="4">
        <f t="array" ref="I8">IF(VLOOKUP($B8&amp;I$5&amp;"FAM",CHOOSE({1,2},TRIM('QS Raw Results'!$B$41:$B$233)&amp;TRIM('QS Raw Results'!$G$41:$G$233),'QS Raw Results'!$I$41:$I$233),2,FALSE)="Undetermined",0,VLOOKUP($B8&amp;I$5&amp;"FAM",CHOOSE({1,2},TRIM('QS Raw Results'!$B$41:$B$233)&amp;TRIM('QS Raw Results'!$G$41:$G$233),'QS Raw Results'!$I$41:$I$233),2,FALSE))</f>
        <v>29.728000000000002</v>
      </c>
      <c r="J8" s="4">
        <f t="array" ref="J8">IF(VLOOKUP($B8&amp;J$5&amp;"FAM",CHOOSE({1,2},TRIM('QS Raw Results'!$B$41:$B$233)&amp;TRIM('QS Raw Results'!$G$41:$G$233),'QS Raw Results'!$I$41:$I$233),2,FALSE)="Undetermined",0,VLOOKUP($B8&amp;J$5&amp;"FAM",CHOOSE({1,2},TRIM('QS Raw Results'!$B$41:$B$233)&amp;TRIM('QS Raw Results'!$G$41:$G$233),'QS Raw Results'!$I$41:$I$233),2,FALSE))</f>
        <v>29.635999999999999</v>
      </c>
      <c r="K8" s="4">
        <f t="array" ref="K8">IF(VLOOKUP($B8&amp;K$5&amp;"FAM",CHOOSE({1,2},TRIM('QS Raw Results'!$B$41:$B$233)&amp;TRIM('QS Raw Results'!$G$41:$G$233),'QS Raw Results'!$I$41:$I$233),2,FALSE)="Undetermined",0,VLOOKUP($B8&amp;K$5&amp;"FAM",CHOOSE({1,2},TRIM('QS Raw Results'!$B$41:$B$233)&amp;TRIM('QS Raw Results'!$G$41:$G$233),'QS Raw Results'!$I$41:$I$233),2,FALSE))</f>
        <v>29.709</v>
      </c>
      <c r="L8" s="4">
        <f t="array" ref="L8">IF(VLOOKUP($B8&amp;L$5&amp;"FAM",CHOOSE({1,2},TRIM('QS Raw Results'!$B$41:$B$233)&amp;TRIM('QS Raw Results'!$G$41:$G$233),'QS Raw Results'!$I$41:$I$233),2,FALSE)="Undetermined",0,VLOOKUP($B8&amp;L$5&amp;"FAM",CHOOSE({1,2},TRIM('QS Raw Results'!$B$41:$B$233)&amp;TRIM('QS Raw Results'!$G$41:$G$233),'QS Raw Results'!$I$41:$I$233),2,FALSE))</f>
        <v>29.911000000000001</v>
      </c>
      <c r="M8" s="4">
        <f t="array" ref="M8">IF(VLOOKUP($B8&amp;M$5&amp;"FAM",CHOOSE({1,2},TRIM('QS Raw Results'!$B$41:$B$233)&amp;TRIM('QS Raw Results'!$G$41:$G$233),'QS Raw Results'!$I$41:$I$233),2,FALSE)="Undetermined",0,VLOOKUP($B8&amp;M$5&amp;"FAM",CHOOSE({1,2},TRIM('QS Raw Results'!$B$41:$B$233)&amp;TRIM('QS Raw Results'!$G$41:$G$233),'QS Raw Results'!$I$41:$I$233),2,FALSE))</f>
        <v>29.696999999999999</v>
      </c>
      <c r="N8" s="4">
        <f t="array" ref="N8">IF(VLOOKUP($B8&amp;N$5&amp;"FAM",CHOOSE({1,2},TRIM('QS Raw Results'!$B$41:$B$233)&amp;TRIM('QS Raw Results'!$G$41:$G$233),'QS Raw Results'!$I$41:$I$233),2,FALSE)="Undetermined",0,VLOOKUP($B8&amp;N$5&amp;"FAM",CHOOSE({1,2},TRIM('QS Raw Results'!$B$41:$B$233)&amp;TRIM('QS Raw Results'!$G$41:$G$233),'QS Raw Results'!$I$41:$I$233),2,FALSE))</f>
        <v>29.687999999999999</v>
      </c>
      <c r="P8" s="3" t="s">
        <v>276</v>
      </c>
      <c r="Q8" s="2">
        <f t="array" ref="Q8:S8">C8:E8</f>
        <v>26.28</v>
      </c>
      <c r="R8" s="2">
        <v>26.151</v>
      </c>
      <c r="S8" s="2">
        <v>26.256</v>
      </c>
      <c r="T8" s="2">
        <f t="shared" ref="T8:T12" si="1">IFERROR(AVERAGEIF(_xlfn.ANCHORARRAY(Q8),"&lt;&gt;0"),0)</f>
        <v>26.228999999999999</v>
      </c>
      <c r="U8" s="2">
        <f t="shared" si="0"/>
        <v>3.234192325759274E-2</v>
      </c>
      <c r="V8" s="2">
        <f>IF(T8=0,0,10^((T8-'QS RNase P Analysis'!$R$34)/'QS RNase P Analysis'!$R$35))</f>
        <v>8172.6093091466537</v>
      </c>
      <c r="Z8" s="3" t="s">
        <v>276</v>
      </c>
      <c r="AA8" s="2">
        <f t="array" ref="AA8:AC8">C21:E21</f>
        <v>19.777000000000001</v>
      </c>
      <c r="AB8" s="2">
        <v>19.597000000000001</v>
      </c>
      <c r="AC8" s="2">
        <v>19.661999999999999</v>
      </c>
      <c r="AD8" s="2">
        <f t="shared" ref="AD8:AD12" si="2">IFERROR(AVERAGEIF(_xlfn.ANCHORARRAY(AA8),"&lt;&gt;0"),0)</f>
        <v>19.678666666666668</v>
      </c>
      <c r="AE8" s="2">
        <f t="shared" ref="AE8:AE13" si="3">IFERROR((_xlfn.STDEV.P(AA8:AC8)/SQRT(3)),0)</f>
        <v>4.2968550083710047E-2</v>
      </c>
      <c r="AF8" s="2">
        <f>IF(AD8=0,0,10^((AD8-'QS 16S Analysis'!$R$34)/'QS 16S Analysis'!$R$35))</f>
        <v>297.96348045300874</v>
      </c>
    </row>
    <row r="9" spans="2:32">
      <c r="B9" s="4" t="s">
        <v>14</v>
      </c>
      <c r="C9" s="4">
        <f t="array" ref="C9">IF(VLOOKUP($B9&amp;C$5&amp;"FAM",CHOOSE({1,2},TRIM('QS Raw Results'!$B$41:$B$233)&amp;TRIM('QS Raw Results'!$G$41:$G$233),'QS Raw Results'!$I$41:$I$233),2,FALSE)="Undetermined",0,VLOOKUP($B9&amp;C$5&amp;"FAM",CHOOSE({1,2},TRIM('QS Raw Results'!$B$41:$B$233)&amp;TRIM('QS Raw Results'!$G$41:$G$233),'QS Raw Results'!$I$41:$I$233),2,FALSE))</f>
        <v>28.527000000000001</v>
      </c>
      <c r="D9" s="4">
        <f t="array" ref="D9">IF(VLOOKUP($B9&amp;D$5&amp;"FAM",CHOOSE({1,2},TRIM('QS Raw Results'!$B$41:$B$233)&amp;TRIM('QS Raw Results'!$G$41:$G$233),'QS Raw Results'!$I$41:$I$233),2,FALSE)="Undetermined",0,VLOOKUP($B9&amp;D$5&amp;"FAM",CHOOSE({1,2},TRIM('QS Raw Results'!$B$41:$B$233)&amp;TRIM('QS Raw Results'!$G$41:$G$233),'QS Raw Results'!$I$41:$I$233),2,FALSE))</f>
        <v>28.664999999999999</v>
      </c>
      <c r="E9" s="4">
        <f t="array" ref="E9">IF(VLOOKUP($B9&amp;E$5&amp;"FAM",CHOOSE({1,2},TRIM('QS Raw Results'!$B$41:$B$233)&amp;TRIM('QS Raw Results'!$G$41:$G$233),'QS Raw Results'!$I$41:$I$233),2,FALSE)="Undetermined",0,VLOOKUP($B9&amp;E$5&amp;"FAM",CHOOSE({1,2},TRIM('QS Raw Results'!$B$41:$B$233)&amp;TRIM('QS Raw Results'!$G$41:$G$233),'QS Raw Results'!$I$41:$I$233),2,FALSE))</f>
        <v>28.44</v>
      </c>
      <c r="F9" s="4">
        <f t="array" ref="F9">IF(VLOOKUP($B9&amp;F$5&amp;"FAM",CHOOSE({1,2},TRIM('QS Raw Results'!$B$41:$B$233)&amp;TRIM('QS Raw Results'!$G$41:$G$233),'QS Raw Results'!$I$41:$I$233),2,FALSE)="Undetermined",0,VLOOKUP($B9&amp;F$5&amp;"FAM",CHOOSE({1,2},TRIM('QS Raw Results'!$B$41:$B$233)&amp;TRIM('QS Raw Results'!$G$41:$G$233),'QS Raw Results'!$I$41:$I$233),2,FALSE))</f>
        <v>29.895</v>
      </c>
      <c r="G9" s="4">
        <f t="array" ref="G9">IF(VLOOKUP($B9&amp;G$5&amp;"FAM",CHOOSE({1,2},TRIM('QS Raw Results'!$B$41:$B$233)&amp;TRIM('QS Raw Results'!$G$41:$G$233),'QS Raw Results'!$I$41:$I$233),2,FALSE)="Undetermined",0,VLOOKUP($B9&amp;G$5&amp;"FAM",CHOOSE({1,2},TRIM('QS Raw Results'!$B$41:$B$233)&amp;TRIM('QS Raw Results'!$G$41:$G$233),'QS Raw Results'!$I$41:$I$233),2,FALSE))</f>
        <v>29.943000000000001</v>
      </c>
      <c r="H9" s="4">
        <f t="array" ref="H9">IF(VLOOKUP($B9&amp;H$5&amp;"FAM",CHOOSE({1,2},TRIM('QS Raw Results'!$B$41:$B$233)&amp;TRIM('QS Raw Results'!$G$41:$G$233),'QS Raw Results'!$I$41:$I$233),2,FALSE)="Undetermined",0,VLOOKUP($B9&amp;H$5&amp;"FAM",CHOOSE({1,2},TRIM('QS Raw Results'!$B$41:$B$233)&amp;TRIM('QS Raw Results'!$G$41:$G$233),'QS Raw Results'!$I$41:$I$233),2,FALSE))</f>
        <v>29.695</v>
      </c>
      <c r="I9" s="4">
        <f t="array" ref="I9">IF(VLOOKUP($B9&amp;I$5&amp;"FAM",CHOOSE({1,2},TRIM('QS Raw Results'!$B$41:$B$233)&amp;TRIM('QS Raw Results'!$G$41:$G$233),'QS Raw Results'!$I$41:$I$233),2,FALSE)="Undetermined",0,VLOOKUP($B9&amp;I$5&amp;"FAM",CHOOSE({1,2},TRIM('QS Raw Results'!$B$41:$B$233)&amp;TRIM('QS Raw Results'!$G$41:$G$233),'QS Raw Results'!$I$41:$I$233),2,FALSE))</f>
        <v>28.913</v>
      </c>
      <c r="J9" s="4">
        <f t="array" ref="J9">IF(VLOOKUP($B9&amp;J$5&amp;"FAM",CHOOSE({1,2},TRIM('QS Raw Results'!$B$41:$B$233)&amp;TRIM('QS Raw Results'!$G$41:$G$233),'QS Raw Results'!$I$41:$I$233),2,FALSE)="Undetermined",0,VLOOKUP($B9&amp;J$5&amp;"FAM",CHOOSE({1,2},TRIM('QS Raw Results'!$B$41:$B$233)&amp;TRIM('QS Raw Results'!$G$41:$G$233),'QS Raw Results'!$I$41:$I$233),2,FALSE))</f>
        <v>28.911999999999999</v>
      </c>
      <c r="K9" s="4">
        <f t="array" ref="K9">IF(VLOOKUP($B9&amp;K$5&amp;"FAM",CHOOSE({1,2},TRIM('QS Raw Results'!$B$41:$B$233)&amp;TRIM('QS Raw Results'!$G$41:$G$233),'QS Raw Results'!$I$41:$I$233),2,FALSE)="Undetermined",0,VLOOKUP($B9&amp;K$5&amp;"FAM",CHOOSE({1,2},TRIM('QS Raw Results'!$B$41:$B$233)&amp;TRIM('QS Raw Results'!$G$41:$G$233),'QS Raw Results'!$I$41:$I$233),2,FALSE))</f>
        <v>29.027000000000001</v>
      </c>
      <c r="L9" s="4">
        <f t="array" ref="L9">IF(VLOOKUP($B9&amp;L$5&amp;"FAM",CHOOSE({1,2},TRIM('QS Raw Results'!$B$41:$B$233)&amp;TRIM('QS Raw Results'!$G$41:$G$233),'QS Raw Results'!$I$41:$I$233),2,FALSE)="Undetermined",0,VLOOKUP($B9&amp;L$5&amp;"FAM",CHOOSE({1,2},TRIM('QS Raw Results'!$B$41:$B$233)&amp;TRIM('QS Raw Results'!$G$41:$G$233),'QS Raw Results'!$I$41:$I$233),2,FALSE))</f>
        <v>30.241</v>
      </c>
      <c r="M9" s="4">
        <f t="array" ref="M9">IF(VLOOKUP($B9&amp;M$5&amp;"FAM",CHOOSE({1,2},TRIM('QS Raw Results'!$B$41:$B$233)&amp;TRIM('QS Raw Results'!$G$41:$G$233),'QS Raw Results'!$I$41:$I$233),2,FALSE)="Undetermined",0,VLOOKUP($B9&amp;M$5&amp;"FAM",CHOOSE({1,2},TRIM('QS Raw Results'!$B$41:$B$233)&amp;TRIM('QS Raw Results'!$G$41:$G$233),'QS Raw Results'!$I$41:$I$233),2,FALSE))</f>
        <v>30.588000000000001</v>
      </c>
      <c r="N9" s="4">
        <f t="array" ref="N9">IF(VLOOKUP($B9&amp;N$5&amp;"FAM",CHOOSE({1,2},TRIM('QS Raw Results'!$B$41:$B$233)&amp;TRIM('QS Raw Results'!$G$41:$G$233),'QS Raw Results'!$I$41:$I$233),2,FALSE)="Undetermined",0,VLOOKUP($B9&amp;N$5&amp;"FAM",CHOOSE({1,2},TRIM('QS Raw Results'!$B$41:$B$233)&amp;TRIM('QS Raw Results'!$G$41:$G$233),'QS Raw Results'!$I$41:$I$233),2,FALSE))</f>
        <v>30.771000000000001</v>
      </c>
      <c r="P9" s="3" t="s">
        <v>277</v>
      </c>
      <c r="Q9" s="2">
        <f t="array" ref="Q9:S9">C9:E9</f>
        <v>28.527000000000001</v>
      </c>
      <c r="R9" s="2">
        <v>28.664999999999999</v>
      </c>
      <c r="S9" s="2">
        <v>28.44</v>
      </c>
      <c r="T9" s="2">
        <f t="shared" si="1"/>
        <v>28.544</v>
      </c>
      <c r="U9" s="2">
        <f t="shared" si="0"/>
        <v>5.3485200445231681E-2</v>
      </c>
      <c r="V9" s="2">
        <f>IF(T9=0,0,10^((T9-'QS RNase P Analysis'!$R$34)/'QS RNase P Analysis'!$R$35))</f>
        <v>1784.2897139684183</v>
      </c>
      <c r="Z9" s="3" t="s">
        <v>277</v>
      </c>
      <c r="AA9" s="2">
        <f t="array" ref="AA9:AC9">C22:E22</f>
        <v>22.983000000000001</v>
      </c>
      <c r="AB9" s="2">
        <v>22.978999999999999</v>
      </c>
      <c r="AC9" s="2">
        <v>22.843</v>
      </c>
      <c r="AD9" s="2">
        <f t="shared" si="2"/>
        <v>22.935000000000002</v>
      </c>
      <c r="AE9" s="2">
        <f t="shared" si="3"/>
        <v>3.7570674142947645E-2</v>
      </c>
      <c r="AF9" s="2">
        <f>IF(AD9=0,0,10^((AD9-'QS 16S Analysis'!$R$34)/'QS 16S Analysis'!$R$35))</f>
        <v>37.375449904428919</v>
      </c>
    </row>
    <row r="10" spans="2:32">
      <c r="B10" s="4" t="s">
        <v>15</v>
      </c>
      <c r="C10" s="4">
        <f t="array" ref="C10">IF(VLOOKUP($B10&amp;C$5&amp;"FAM",CHOOSE({1,2},TRIM('QS Raw Results'!$B$41:$B$233)&amp;TRIM('QS Raw Results'!$G$41:$G$233),'QS Raw Results'!$I$41:$I$233),2,FALSE)="Undetermined",0,VLOOKUP($B10&amp;C$5&amp;"FAM",CHOOSE({1,2},TRIM('QS Raw Results'!$B$41:$B$233)&amp;TRIM('QS Raw Results'!$G$41:$G$233),'QS Raw Results'!$I$41:$I$233),2,FALSE))</f>
        <v>30.902000000000001</v>
      </c>
      <c r="D10" s="4">
        <f t="array" ref="D10">IF(VLOOKUP($B10&amp;D$5&amp;"FAM",CHOOSE({1,2},TRIM('QS Raw Results'!$B$41:$B$233)&amp;TRIM('QS Raw Results'!$G$41:$G$233),'QS Raw Results'!$I$41:$I$233),2,FALSE)="Undetermined",0,VLOOKUP($B10&amp;D$5&amp;"FAM",CHOOSE({1,2},TRIM('QS Raw Results'!$B$41:$B$233)&amp;TRIM('QS Raw Results'!$G$41:$G$233),'QS Raw Results'!$I$41:$I$233),2,FALSE))</f>
        <v>30.93</v>
      </c>
      <c r="E10" s="4">
        <f t="array" ref="E10">IF(VLOOKUP($B10&amp;E$5&amp;"FAM",CHOOSE({1,2},TRIM('QS Raw Results'!$B$41:$B$233)&amp;TRIM('QS Raw Results'!$G$41:$G$233),'QS Raw Results'!$I$41:$I$233),2,FALSE)="Undetermined",0,VLOOKUP($B10&amp;E$5&amp;"FAM",CHOOSE({1,2},TRIM('QS Raw Results'!$B$41:$B$233)&amp;TRIM('QS Raw Results'!$G$41:$G$233),'QS Raw Results'!$I$41:$I$233),2,FALSE))</f>
        <v>30.954000000000001</v>
      </c>
      <c r="F10" s="4">
        <f t="array" ref="F10">IF(VLOOKUP($B10&amp;F$5&amp;"FAM",CHOOSE({1,2},TRIM('QS Raw Results'!$B$41:$B$233)&amp;TRIM('QS Raw Results'!$G$41:$G$233),'QS Raw Results'!$I$41:$I$233),2,FALSE)="Undetermined",0,VLOOKUP($B10&amp;F$5&amp;"FAM",CHOOSE({1,2},TRIM('QS Raw Results'!$B$41:$B$233)&amp;TRIM('QS Raw Results'!$G$41:$G$233),'QS Raw Results'!$I$41:$I$233),2,FALSE))</f>
        <v>28.806999999999999</v>
      </c>
      <c r="G10" s="4">
        <f t="array" ref="G10">IF(VLOOKUP($B10&amp;G$5&amp;"FAM",CHOOSE({1,2},TRIM('QS Raw Results'!$B$41:$B$233)&amp;TRIM('QS Raw Results'!$G$41:$G$233),'QS Raw Results'!$I$41:$I$233),2,FALSE)="Undetermined",0,VLOOKUP($B10&amp;G$5&amp;"FAM",CHOOSE({1,2},TRIM('QS Raw Results'!$B$41:$B$233)&amp;TRIM('QS Raw Results'!$G$41:$G$233),'QS Raw Results'!$I$41:$I$233),2,FALSE))</f>
        <v>28.35</v>
      </c>
      <c r="H10" s="4">
        <f t="array" ref="H10">IF(VLOOKUP($B10&amp;H$5&amp;"FAM",CHOOSE({1,2},TRIM('QS Raw Results'!$B$41:$B$233)&amp;TRIM('QS Raw Results'!$G$41:$G$233),'QS Raw Results'!$I$41:$I$233),2,FALSE)="Undetermined",0,VLOOKUP($B10&amp;H$5&amp;"FAM",CHOOSE({1,2},TRIM('QS Raw Results'!$B$41:$B$233)&amp;TRIM('QS Raw Results'!$G$41:$G$233),'QS Raw Results'!$I$41:$I$233),2,FALSE))</f>
        <v>28.268000000000001</v>
      </c>
      <c r="I10" s="4">
        <f t="array" ref="I10">IF(VLOOKUP($B10&amp;I$5&amp;"FAM",CHOOSE({1,2},TRIM('QS Raw Results'!$B$41:$B$233)&amp;TRIM('QS Raw Results'!$G$41:$G$233),'QS Raw Results'!$I$41:$I$233),2,FALSE)="Undetermined",0,VLOOKUP($B10&amp;I$5&amp;"FAM",CHOOSE({1,2},TRIM('QS Raw Results'!$B$41:$B$233)&amp;TRIM('QS Raw Results'!$G$41:$G$233),'QS Raw Results'!$I$41:$I$233),2,FALSE))</f>
        <v>31.739000000000001</v>
      </c>
      <c r="J10" s="4">
        <f t="array" ref="J10">IF(VLOOKUP($B10&amp;J$5&amp;"FAM",CHOOSE({1,2},TRIM('QS Raw Results'!$B$41:$B$233)&amp;TRIM('QS Raw Results'!$G$41:$G$233),'QS Raw Results'!$I$41:$I$233),2,FALSE)="Undetermined",0,VLOOKUP($B10&amp;J$5&amp;"FAM",CHOOSE({1,2},TRIM('QS Raw Results'!$B$41:$B$233)&amp;TRIM('QS Raw Results'!$G$41:$G$233),'QS Raw Results'!$I$41:$I$233),2,FALSE))</f>
        <v>31.712</v>
      </c>
      <c r="K10" s="4">
        <f t="array" ref="K10">IF(VLOOKUP($B10&amp;K$5&amp;"FAM",CHOOSE({1,2},TRIM('QS Raw Results'!$B$41:$B$233)&amp;TRIM('QS Raw Results'!$G$41:$G$233),'QS Raw Results'!$I$41:$I$233),2,FALSE)="Undetermined",0,VLOOKUP($B10&amp;K$5&amp;"FAM",CHOOSE({1,2},TRIM('QS Raw Results'!$B$41:$B$233)&amp;TRIM('QS Raw Results'!$G$41:$G$233),'QS Raw Results'!$I$41:$I$233),2,FALSE))</f>
        <v>32.003999999999998</v>
      </c>
      <c r="L10" s="4">
        <f t="array" ref="L10">IF(VLOOKUP($B10&amp;L$5&amp;"FAM",CHOOSE({1,2},TRIM('QS Raw Results'!$B$41:$B$233)&amp;TRIM('QS Raw Results'!$G$41:$G$233),'QS Raw Results'!$I$41:$I$233),2,FALSE)="Undetermined",0,VLOOKUP($B10&amp;L$5&amp;"FAM",CHOOSE({1,2},TRIM('QS Raw Results'!$B$41:$B$233)&amp;TRIM('QS Raw Results'!$G$41:$G$233),'QS Raw Results'!$I$41:$I$233),2,FALSE))</f>
        <v>30.364999999999998</v>
      </c>
      <c r="M10" s="4">
        <f t="array" ref="M10">IF(VLOOKUP($B10&amp;M$5&amp;"FAM",CHOOSE({1,2},TRIM('QS Raw Results'!$B$41:$B$233)&amp;TRIM('QS Raw Results'!$G$41:$G$233),'QS Raw Results'!$I$41:$I$233),2,FALSE)="Undetermined",0,VLOOKUP($B10&amp;M$5&amp;"FAM",CHOOSE({1,2},TRIM('QS Raw Results'!$B$41:$B$233)&amp;TRIM('QS Raw Results'!$G$41:$G$233),'QS Raw Results'!$I$41:$I$233),2,FALSE))</f>
        <v>30.64</v>
      </c>
      <c r="N10" s="4">
        <f t="array" ref="N10">IF(VLOOKUP($B10&amp;N$5&amp;"FAM",CHOOSE({1,2},TRIM('QS Raw Results'!$B$41:$B$233)&amp;TRIM('QS Raw Results'!$G$41:$G$233),'QS Raw Results'!$I$41:$I$233),2,FALSE)="Undetermined",0,VLOOKUP($B10&amp;N$5&amp;"FAM",CHOOSE({1,2},TRIM('QS Raw Results'!$B$41:$B$233)&amp;TRIM('QS Raw Results'!$G$41:$G$233),'QS Raw Results'!$I$41:$I$233),2,FALSE))</f>
        <v>30.956</v>
      </c>
      <c r="P10" s="3" t="s">
        <v>278</v>
      </c>
      <c r="Q10" s="2">
        <f t="array" ref="Q10:S10">C10:E10</f>
        <v>30.902000000000001</v>
      </c>
      <c r="R10" s="2">
        <v>30.93</v>
      </c>
      <c r="S10" s="2">
        <v>30.954000000000001</v>
      </c>
      <c r="T10" s="2">
        <f t="shared" si="1"/>
        <v>30.928666666666668</v>
      </c>
      <c r="U10" s="2">
        <f t="shared" si="0"/>
        <v>1.226859888163746E-2</v>
      </c>
      <c r="V10" s="2">
        <f>IF(T10=0,0,10^((T10-'QS RNase P Analysis'!$R$34)/'QS RNase P Analysis'!$R$35))</f>
        <v>372.11852420849152</v>
      </c>
      <c r="Z10" s="3" t="s">
        <v>278</v>
      </c>
      <c r="AA10" s="2">
        <f t="array" ref="AA10:AC10">C23:E23</f>
        <v>26.128</v>
      </c>
      <c r="AB10" s="2">
        <v>26.134</v>
      </c>
      <c r="AC10" s="2">
        <v>25.998000000000001</v>
      </c>
      <c r="AD10" s="2">
        <f t="shared" si="2"/>
        <v>26.08666666666667</v>
      </c>
      <c r="AE10" s="2">
        <f t="shared" si="3"/>
        <v>3.6225630378176714E-2</v>
      </c>
      <c r="AF10" s="2">
        <f>IF(AD10=0,0,10^((AD10-'QS 16S Analysis'!$R$34)/'QS 16S Analysis'!$R$35))</f>
        <v>5.0117423752266186</v>
      </c>
    </row>
    <row r="11" spans="2:32">
      <c r="B11" s="4" t="s">
        <v>16</v>
      </c>
      <c r="C11" s="4">
        <f t="array" ref="C11">IF(VLOOKUP($B11&amp;C$5&amp;"FAM",CHOOSE({1,2},TRIM('QS Raw Results'!$B$41:$B$233)&amp;TRIM('QS Raw Results'!$G$41:$G$233),'QS Raw Results'!$I$41:$I$233),2,FALSE)="Undetermined",0,VLOOKUP($B11&amp;C$5&amp;"FAM",CHOOSE({1,2},TRIM('QS Raw Results'!$B$41:$B$233)&amp;TRIM('QS Raw Results'!$G$41:$G$233),'QS Raw Results'!$I$41:$I$233),2,FALSE))</f>
        <v>33.328000000000003</v>
      </c>
      <c r="D11" s="4">
        <f t="array" ref="D11">IF(VLOOKUP($B11&amp;D$5&amp;"FAM",CHOOSE({1,2},TRIM('QS Raw Results'!$B$41:$B$233)&amp;TRIM('QS Raw Results'!$G$41:$G$233),'QS Raw Results'!$I$41:$I$233),2,FALSE)="Undetermined",0,VLOOKUP($B11&amp;D$5&amp;"FAM",CHOOSE({1,2},TRIM('QS Raw Results'!$B$41:$B$233)&amp;TRIM('QS Raw Results'!$G$41:$G$233),'QS Raw Results'!$I$41:$I$233),2,FALSE))</f>
        <v>33.005000000000003</v>
      </c>
      <c r="E11" s="4">
        <f t="array" ref="E11">IF(VLOOKUP($B11&amp;E$5&amp;"FAM",CHOOSE({1,2},TRIM('QS Raw Results'!$B$41:$B$233)&amp;TRIM('QS Raw Results'!$G$41:$G$233),'QS Raw Results'!$I$41:$I$233),2,FALSE)="Undetermined",0,VLOOKUP($B11&amp;E$5&amp;"FAM",CHOOSE({1,2},TRIM('QS Raw Results'!$B$41:$B$233)&amp;TRIM('QS Raw Results'!$G$41:$G$233),'QS Raw Results'!$I$41:$I$233),2,FALSE))</f>
        <v>33.279000000000003</v>
      </c>
      <c r="F11" s="4">
        <f t="array" ref="F11">IF(VLOOKUP($B11&amp;F$5&amp;"FAM",CHOOSE({1,2},TRIM('QS Raw Results'!$B$41:$B$233)&amp;TRIM('QS Raw Results'!$G$41:$G$233),'QS Raw Results'!$I$41:$I$233),2,FALSE)="Undetermined",0,VLOOKUP($B11&amp;F$5&amp;"FAM",CHOOSE({1,2},TRIM('QS Raw Results'!$B$41:$B$233)&amp;TRIM('QS Raw Results'!$G$41:$G$233),'QS Raw Results'!$I$41:$I$233),2,FALSE))</f>
        <v>30.824999999999999</v>
      </c>
      <c r="G11" s="4">
        <f t="array" ref="G11">IF(VLOOKUP($B11&amp;G$5&amp;"FAM",CHOOSE({1,2},TRIM('QS Raw Results'!$B$41:$B$233)&amp;TRIM('QS Raw Results'!$G$41:$G$233),'QS Raw Results'!$I$41:$I$233),2,FALSE)="Undetermined",0,VLOOKUP($B11&amp;G$5&amp;"FAM",CHOOSE({1,2},TRIM('QS Raw Results'!$B$41:$B$233)&amp;TRIM('QS Raw Results'!$G$41:$G$233),'QS Raw Results'!$I$41:$I$233),2,FALSE))</f>
        <v>30.594999999999999</v>
      </c>
      <c r="H11" s="4">
        <f t="array" ref="H11">IF(VLOOKUP($B11&amp;H$5&amp;"FAM",CHOOSE({1,2},TRIM('QS Raw Results'!$B$41:$B$233)&amp;TRIM('QS Raw Results'!$G$41:$G$233),'QS Raw Results'!$I$41:$I$233),2,FALSE)="Undetermined",0,VLOOKUP($B11&amp;H$5&amp;"FAM",CHOOSE({1,2},TRIM('QS Raw Results'!$B$41:$B$233)&amp;TRIM('QS Raw Results'!$G$41:$G$233),'QS Raw Results'!$I$41:$I$233),2,FALSE))</f>
        <v>30.649000000000001</v>
      </c>
      <c r="I11" s="4">
        <f t="array" ref="I11">IF(VLOOKUP($B11&amp;I$5&amp;"FAM",CHOOSE({1,2},TRIM('QS Raw Results'!$B$41:$B$233)&amp;TRIM('QS Raw Results'!$G$41:$G$233),'QS Raw Results'!$I$41:$I$233),2,FALSE)="Undetermined",0,VLOOKUP($B11&amp;I$5&amp;"FAM",CHOOSE({1,2},TRIM('QS Raw Results'!$B$41:$B$233)&amp;TRIM('QS Raw Results'!$G$41:$G$233),'QS Raw Results'!$I$41:$I$233),2,FALSE))</f>
        <v>33.040999999999997</v>
      </c>
      <c r="J11" s="4">
        <f t="array" ref="J11">IF(VLOOKUP($B11&amp;J$5&amp;"FAM",CHOOSE({1,2},TRIM('QS Raw Results'!$B$41:$B$233)&amp;TRIM('QS Raw Results'!$G$41:$G$233),'QS Raw Results'!$I$41:$I$233),2,FALSE)="Undetermined",0,VLOOKUP($B11&amp;J$5&amp;"FAM",CHOOSE({1,2},TRIM('QS Raw Results'!$B$41:$B$233)&amp;TRIM('QS Raw Results'!$G$41:$G$233),'QS Raw Results'!$I$41:$I$233),2,FALSE))</f>
        <v>33.619</v>
      </c>
      <c r="K11" s="4">
        <f t="array" ref="K11">IF(VLOOKUP($B11&amp;K$5&amp;"FAM",CHOOSE({1,2},TRIM('QS Raw Results'!$B$41:$B$233)&amp;TRIM('QS Raw Results'!$G$41:$G$233),'QS Raw Results'!$I$41:$I$233),2,FALSE)="Undetermined",0,VLOOKUP($B11&amp;K$5&amp;"FAM",CHOOSE({1,2},TRIM('QS Raw Results'!$B$41:$B$233)&amp;TRIM('QS Raw Results'!$G$41:$G$233),'QS Raw Results'!$I$41:$I$233),2,FALSE))</f>
        <v>33.049999999999997</v>
      </c>
      <c r="L11" s="4">
        <f t="array" ref="L11">IF(VLOOKUP($B11&amp;L$5&amp;"FAM",CHOOSE({1,2},TRIM('QS Raw Results'!$B$41:$B$233)&amp;TRIM('QS Raw Results'!$G$41:$G$233),'QS Raw Results'!$I$41:$I$233),2,FALSE)="Undetermined",0,VLOOKUP($B11&amp;L$5&amp;"FAM",CHOOSE({1,2},TRIM('QS Raw Results'!$B$41:$B$233)&amp;TRIM('QS Raw Results'!$G$41:$G$233),'QS Raw Results'!$I$41:$I$233),2,FALSE))</f>
        <v>32.265999999999998</v>
      </c>
      <c r="M11" s="4">
        <f t="array" ref="M11">IF(VLOOKUP($B11&amp;M$5&amp;"FAM",CHOOSE({1,2},TRIM('QS Raw Results'!$B$41:$B$233)&amp;TRIM('QS Raw Results'!$G$41:$G$233),'QS Raw Results'!$I$41:$I$233),2,FALSE)="Undetermined",0,VLOOKUP($B11&amp;M$5&amp;"FAM",CHOOSE({1,2},TRIM('QS Raw Results'!$B$41:$B$233)&amp;TRIM('QS Raw Results'!$G$41:$G$233),'QS Raw Results'!$I$41:$I$233),2,FALSE))</f>
        <v>32.006</v>
      </c>
      <c r="N11" s="4">
        <f t="array" ref="N11">IF(VLOOKUP($B11&amp;N$5&amp;"FAM",CHOOSE({1,2},TRIM('QS Raw Results'!$B$41:$B$233)&amp;TRIM('QS Raw Results'!$G$41:$G$233),'QS Raw Results'!$I$41:$I$233),2,FALSE)="Undetermined",0,VLOOKUP($B11&amp;N$5&amp;"FAM",CHOOSE({1,2},TRIM('QS Raw Results'!$B$41:$B$233)&amp;TRIM('QS Raw Results'!$G$41:$G$233),'QS Raw Results'!$I$41:$I$233),2,FALSE))</f>
        <v>32.262</v>
      </c>
      <c r="P11" s="3" t="s">
        <v>279</v>
      </c>
      <c r="Q11" s="2">
        <f t="array" ref="Q11:S11">C11:E11</f>
        <v>33.328000000000003</v>
      </c>
      <c r="R11" s="2">
        <v>33.005000000000003</v>
      </c>
      <c r="S11" s="2">
        <v>33.279000000000003</v>
      </c>
      <c r="T11" s="2">
        <f t="shared" si="1"/>
        <v>33.204000000000001</v>
      </c>
      <c r="U11" s="2">
        <f t="shared" si="0"/>
        <v>8.2058244896875437E-2</v>
      </c>
      <c r="V11" s="2">
        <f>IF(T11=0,0,10^((T11-'QS RNase P Analysis'!$R$34)/'QS RNase P Analysis'!$R$35))</f>
        <v>83.389260180251711</v>
      </c>
      <c r="Z11" s="3" t="s">
        <v>279</v>
      </c>
      <c r="AA11" s="2">
        <f t="array" ref="AA11:AC11">C24:E24</f>
        <v>29.436</v>
      </c>
      <c r="AB11" s="2">
        <v>29.219000000000001</v>
      </c>
      <c r="AC11" s="2">
        <v>29.486000000000001</v>
      </c>
      <c r="AD11" s="2">
        <f t="shared" si="2"/>
        <v>29.380333333333336</v>
      </c>
      <c r="AE11" s="2">
        <f t="shared" si="3"/>
        <v>6.6910111066735917E-2</v>
      </c>
      <c r="AF11" s="2">
        <f>IF(AD11=0,0,10^((AD11-'QS 16S Analysis'!$R$34)/'QS 16S Analysis'!$R$35))</f>
        <v>0.61386899583347709</v>
      </c>
    </row>
    <row r="12" spans="2:32">
      <c r="B12" s="4" t="s">
        <v>17</v>
      </c>
      <c r="C12" s="4">
        <f t="array" ref="C12">IF(VLOOKUP($B12&amp;C$5&amp;"FAM",CHOOSE({1,2},TRIM('QS Raw Results'!$B$41:$B$233)&amp;TRIM('QS Raw Results'!$G$41:$G$233),'QS Raw Results'!$I$41:$I$233),2,FALSE)="Undetermined",0,VLOOKUP($B12&amp;C$5&amp;"FAM",CHOOSE({1,2},TRIM('QS Raw Results'!$B$41:$B$233)&amp;TRIM('QS Raw Results'!$G$41:$G$233),'QS Raw Results'!$I$41:$I$233),2,FALSE))</f>
        <v>26.927</v>
      </c>
      <c r="D12" s="4">
        <f t="array" ref="D12">IF(VLOOKUP($B12&amp;D$5&amp;"FAM",CHOOSE({1,2},TRIM('QS Raw Results'!$B$41:$B$233)&amp;TRIM('QS Raw Results'!$G$41:$G$233),'QS Raw Results'!$I$41:$I$233),2,FALSE)="Undetermined",0,VLOOKUP($B12&amp;D$5&amp;"FAM",CHOOSE({1,2},TRIM('QS Raw Results'!$B$41:$B$233)&amp;TRIM('QS Raw Results'!$G$41:$G$233),'QS Raw Results'!$I$41:$I$233),2,FALSE))</f>
        <v>26.704999999999998</v>
      </c>
      <c r="E12" s="4">
        <f t="array" ref="E12">IF(VLOOKUP($B12&amp;E$5&amp;"FAM",CHOOSE({1,2},TRIM('QS Raw Results'!$B$41:$B$233)&amp;TRIM('QS Raw Results'!$G$41:$G$233),'QS Raw Results'!$I$41:$I$233),2,FALSE)="Undetermined",0,VLOOKUP($B12&amp;E$5&amp;"FAM",CHOOSE({1,2},TRIM('QS Raw Results'!$B$41:$B$233)&amp;TRIM('QS Raw Results'!$G$41:$G$233),'QS Raw Results'!$I$41:$I$233),2,FALSE))</f>
        <v>0</v>
      </c>
      <c r="F12" s="4">
        <f t="array" ref="F12">IF(VLOOKUP($B12&amp;F$5&amp;"FAM",CHOOSE({1,2},TRIM('QS Raw Results'!$B$41:$B$233)&amp;TRIM('QS Raw Results'!$G$41:$G$233),'QS Raw Results'!$I$41:$I$233),2,FALSE)="Undetermined",0,VLOOKUP($B12&amp;F$5&amp;"FAM",CHOOSE({1,2},TRIM('QS Raw Results'!$B$41:$B$233)&amp;TRIM('QS Raw Results'!$G$41:$G$233),'QS Raw Results'!$I$41:$I$233),2,FALSE))</f>
        <v>34.515999999999998</v>
      </c>
      <c r="G12" s="4">
        <f t="array" ref="G12">IF(VLOOKUP($B12&amp;G$5&amp;"FAM",CHOOSE({1,2},TRIM('QS Raw Results'!$B$41:$B$233)&amp;TRIM('QS Raw Results'!$G$41:$G$233),'QS Raw Results'!$I$41:$I$233),2,FALSE)="Undetermined",0,VLOOKUP($B12&amp;G$5&amp;"FAM",CHOOSE({1,2},TRIM('QS Raw Results'!$B$41:$B$233)&amp;TRIM('QS Raw Results'!$G$41:$G$233),'QS Raw Results'!$I$41:$I$233),2,FALSE))</f>
        <v>32.584000000000003</v>
      </c>
      <c r="H12" s="4">
        <f t="array" ref="H12">IF(VLOOKUP($B12&amp;H$5&amp;"FAM",CHOOSE({1,2},TRIM('QS Raw Results'!$B$41:$B$233)&amp;TRIM('QS Raw Results'!$G$41:$G$233),'QS Raw Results'!$I$41:$I$233),2,FALSE)="Undetermined",0,VLOOKUP($B12&amp;H$5&amp;"FAM",CHOOSE({1,2},TRIM('QS Raw Results'!$B$41:$B$233)&amp;TRIM('QS Raw Results'!$G$41:$G$233),'QS Raw Results'!$I$41:$I$233),2,FALSE))</f>
        <v>32.28</v>
      </c>
      <c r="I12" s="4">
        <f t="array" ref="I12">IF(VLOOKUP($B12&amp;I$5&amp;"FAM",CHOOSE({1,2},TRIM('QS Raw Results'!$B$41:$B$233)&amp;TRIM('QS Raw Results'!$G$41:$G$233),'QS Raw Results'!$I$41:$I$233),2,FALSE)="Undetermined",0,VLOOKUP($B12&amp;I$5&amp;"FAM",CHOOSE({1,2},TRIM('QS Raw Results'!$B$41:$B$233)&amp;TRIM('QS Raw Results'!$G$41:$G$233),'QS Raw Results'!$I$41:$I$233),2,FALSE))</f>
        <v>34.283000000000001</v>
      </c>
      <c r="J12" s="4">
        <f t="array" ref="J12">IF(VLOOKUP($B12&amp;J$5&amp;"FAM",CHOOSE({1,2},TRIM('QS Raw Results'!$B$41:$B$233)&amp;TRIM('QS Raw Results'!$G$41:$G$233),'QS Raw Results'!$I$41:$I$233),2,FALSE)="Undetermined",0,VLOOKUP($B12&amp;J$5&amp;"FAM",CHOOSE({1,2},TRIM('QS Raw Results'!$B$41:$B$233)&amp;TRIM('QS Raw Results'!$G$41:$G$233),'QS Raw Results'!$I$41:$I$233),2,FALSE))</f>
        <v>34.423000000000002</v>
      </c>
      <c r="K12" s="4">
        <f t="array" ref="K12">IF(VLOOKUP($B12&amp;K$5&amp;"FAM",CHOOSE({1,2},TRIM('QS Raw Results'!$B$41:$B$233)&amp;TRIM('QS Raw Results'!$G$41:$G$233),'QS Raw Results'!$I$41:$I$233),2,FALSE)="Undetermined",0,VLOOKUP($B12&amp;K$5&amp;"FAM",CHOOSE({1,2},TRIM('QS Raw Results'!$B$41:$B$233)&amp;TRIM('QS Raw Results'!$G$41:$G$233),'QS Raw Results'!$I$41:$I$233),2,FALSE))</f>
        <v>34.161999999999999</v>
      </c>
      <c r="L12" s="4">
        <f t="array" ref="L12">IF(VLOOKUP($B12&amp;L$5&amp;"FAM",CHOOSE({1,2},TRIM('QS Raw Results'!$B$41:$B$233)&amp;TRIM('QS Raw Results'!$G$41:$G$233),'QS Raw Results'!$I$41:$I$233),2,FALSE)="Undetermined",0,VLOOKUP($B12&amp;L$5&amp;"FAM",CHOOSE({1,2},TRIM('QS Raw Results'!$B$41:$B$233)&amp;TRIM('QS Raw Results'!$G$41:$G$233),'QS Raw Results'!$I$41:$I$233),2,FALSE))</f>
        <v>0</v>
      </c>
      <c r="M12" s="4">
        <f t="array" ref="M12">IF(VLOOKUP($B12&amp;M$5&amp;"FAM",CHOOSE({1,2},TRIM('QS Raw Results'!$B$41:$B$233)&amp;TRIM('QS Raw Results'!$G$41:$G$233),'QS Raw Results'!$I$41:$I$233),2,FALSE)="Undetermined",0,VLOOKUP($B12&amp;M$5&amp;"FAM",CHOOSE({1,2},TRIM('QS Raw Results'!$B$41:$B$233)&amp;TRIM('QS Raw Results'!$G$41:$G$233),'QS Raw Results'!$I$41:$I$233),2,FALSE))</f>
        <v>0</v>
      </c>
      <c r="N12" s="4">
        <f t="array" ref="N12">IF(VLOOKUP($B12&amp;N$5&amp;"FAM",CHOOSE({1,2},TRIM('QS Raw Results'!$B$41:$B$233)&amp;TRIM('QS Raw Results'!$G$41:$G$233),'QS Raw Results'!$I$41:$I$233),2,FALSE)="Undetermined",0,VLOOKUP($B12&amp;N$5&amp;"FAM",CHOOSE({1,2},TRIM('QS Raw Results'!$B$41:$B$233)&amp;TRIM('QS Raw Results'!$G$41:$G$233),'QS Raw Results'!$I$41:$I$233),2,FALSE))</f>
        <v>0</v>
      </c>
      <c r="P12" s="3" t="s">
        <v>280</v>
      </c>
      <c r="Q12" s="2">
        <f t="array" ref="Q12:S12">C12:E12</f>
        <v>26.927</v>
      </c>
      <c r="R12" s="2">
        <v>26.704999999999998</v>
      </c>
      <c r="S12" s="2">
        <v>0</v>
      </c>
      <c r="T12" s="2">
        <f t="shared" si="1"/>
        <v>26.815999999999999</v>
      </c>
      <c r="U12" s="2">
        <f>IFERROR((_xlfn.STDEV.P(Q12:S12)/SQRT(3)),0)</f>
        <v>7.2985783445717596</v>
      </c>
      <c r="V12" s="2">
        <f>IF(T12=0,0,10^((T12-'QS RNase P Analysis'!$R$34)/'QS RNase P Analysis'!$R$35))</f>
        <v>5556.2484071163944</v>
      </c>
      <c r="Z12" s="3" t="s">
        <v>139</v>
      </c>
      <c r="AA12" s="2" t="e">
        <f t="array" ref="AA12:AC12">C25:E25</f>
        <v>#N/A</v>
      </c>
      <c r="AB12" s="2" t="e">
        <v>#N/A</v>
      </c>
      <c r="AC12" s="2" t="e">
        <v>#N/A</v>
      </c>
      <c r="AD12" s="2">
        <f t="shared" si="2"/>
        <v>0</v>
      </c>
      <c r="AE12" s="2">
        <f t="shared" si="3"/>
        <v>0</v>
      </c>
      <c r="AF12" s="2">
        <f>IF(AD12=0,0,10^((AD12-'QS 16S Analysis'!$R$34)/'QS 16S Analysis'!$R$35))</f>
        <v>0</v>
      </c>
    </row>
    <row r="13" spans="2:32">
      <c r="B13" s="4" t="s">
        <v>18</v>
      </c>
      <c r="C13" s="4">
        <f t="array" ref="C13">IF(VLOOKUP($B13&amp;C$5&amp;"FAM",CHOOSE({1,2},TRIM('QS Raw Results'!$B$41:$B$233)&amp;TRIM('QS Raw Results'!$G$41:$G$233),'QS Raw Results'!$I$41:$I$233),2,FALSE)="Undetermined",0,VLOOKUP($B13&amp;C$5&amp;"FAM",CHOOSE({1,2},TRIM('QS Raw Results'!$B$41:$B$233)&amp;TRIM('QS Raw Results'!$G$41:$G$233),'QS Raw Results'!$I$41:$I$233),2,FALSE))</f>
        <v>0</v>
      </c>
      <c r="D13" s="4">
        <f t="array" ref="D13">IF(VLOOKUP($B13&amp;D$5&amp;"FAM",CHOOSE({1,2},TRIM('QS Raw Results'!$B$41:$B$233)&amp;TRIM('QS Raw Results'!$G$41:$G$233),'QS Raw Results'!$I$41:$I$233),2,FALSE)="Undetermined",0,VLOOKUP($B13&amp;D$5&amp;"FAM",CHOOSE({1,2},TRIM('QS Raw Results'!$B$41:$B$233)&amp;TRIM('QS Raw Results'!$G$41:$G$233),'QS Raw Results'!$I$41:$I$233),2,FALSE))</f>
        <v>0</v>
      </c>
      <c r="E13" s="4">
        <f t="array" ref="E13">IF(VLOOKUP($B13&amp;E$5&amp;"FAM",CHOOSE({1,2},TRIM('QS Raw Results'!$B$41:$B$233)&amp;TRIM('QS Raw Results'!$G$41:$G$233),'QS Raw Results'!$I$41:$I$233),2,FALSE)="Undetermined",0,VLOOKUP($B13&amp;E$5&amp;"FAM",CHOOSE({1,2},TRIM('QS Raw Results'!$B$41:$B$233)&amp;TRIM('QS Raw Results'!$G$41:$G$233),'QS Raw Results'!$I$41:$I$233),2,FALSE))</f>
        <v>0</v>
      </c>
      <c r="F13" s="4">
        <f t="array" ref="F13">IF(VLOOKUP($B13&amp;F$5&amp;"FAM",CHOOSE({1,2},TRIM('QS Raw Results'!$B$41:$B$233)&amp;TRIM('QS Raw Results'!$G$41:$G$233),'QS Raw Results'!$I$41:$I$233),2,FALSE)="Undetermined",0,VLOOKUP($B13&amp;F$5&amp;"FAM",CHOOSE({1,2},TRIM('QS Raw Results'!$B$41:$B$233)&amp;TRIM('QS Raw Results'!$G$41:$G$233),'QS Raw Results'!$I$41:$I$233),2,FALSE))</f>
        <v>30.172000000000001</v>
      </c>
      <c r="G13" s="4">
        <f t="array" ref="G13">IF(VLOOKUP($B13&amp;G$5&amp;"FAM",CHOOSE({1,2},TRIM('QS Raw Results'!$B$41:$B$233)&amp;TRIM('QS Raw Results'!$G$41:$G$233),'QS Raw Results'!$I$41:$I$233),2,FALSE)="Undetermined",0,VLOOKUP($B13&amp;G$5&amp;"FAM",CHOOSE({1,2},TRIM('QS Raw Results'!$B$41:$B$233)&amp;TRIM('QS Raw Results'!$G$41:$G$233),'QS Raw Results'!$I$41:$I$233),2,FALSE))</f>
        <v>30.23</v>
      </c>
      <c r="H13" s="4">
        <f t="array" ref="H13">IF(VLOOKUP($B13&amp;H$5&amp;"FAM",CHOOSE({1,2},TRIM('QS Raw Results'!$B$41:$B$233)&amp;TRIM('QS Raw Results'!$G$41:$G$233),'QS Raw Results'!$I$41:$I$233),2,FALSE)="Undetermined",0,VLOOKUP($B13&amp;H$5&amp;"FAM",CHOOSE({1,2},TRIM('QS Raw Results'!$B$41:$B$233)&amp;TRIM('QS Raw Results'!$G$41:$G$233),'QS Raw Results'!$I$41:$I$233),2,FALSE))</f>
        <v>30.062000000000001</v>
      </c>
      <c r="I13" s="4">
        <f t="array" ref="I13">IF(VLOOKUP($B13&amp;I$5&amp;"FAM",CHOOSE({1,2},TRIM('QS Raw Results'!$B$41:$B$233)&amp;TRIM('QS Raw Results'!$G$41:$G$233),'QS Raw Results'!$I$41:$I$233),2,FALSE)="Undetermined",0,VLOOKUP($B13&amp;I$5&amp;"FAM",CHOOSE({1,2},TRIM('QS Raw Results'!$B$41:$B$233)&amp;TRIM('QS Raw Results'!$G$41:$G$233),'QS Raw Results'!$I$41:$I$233),2,FALSE))</f>
        <v>31.149000000000001</v>
      </c>
      <c r="J13" s="4">
        <f t="array" ref="J13">IF(VLOOKUP($B13&amp;J$5&amp;"FAM",CHOOSE({1,2},TRIM('QS Raw Results'!$B$41:$B$233)&amp;TRIM('QS Raw Results'!$G$41:$G$233),'QS Raw Results'!$I$41:$I$233),2,FALSE)="Undetermined",0,VLOOKUP($B13&amp;J$5&amp;"FAM",CHOOSE({1,2},TRIM('QS Raw Results'!$B$41:$B$233)&amp;TRIM('QS Raw Results'!$G$41:$G$233),'QS Raw Results'!$I$41:$I$233),2,FALSE))</f>
        <v>31.308</v>
      </c>
      <c r="K13" s="4">
        <f t="array" ref="K13">IF(VLOOKUP($B13&amp;K$5&amp;"FAM",CHOOSE({1,2},TRIM('QS Raw Results'!$B$41:$B$233)&amp;TRIM('QS Raw Results'!$G$41:$G$233),'QS Raw Results'!$I$41:$I$233),2,FALSE)="Undetermined",0,VLOOKUP($B13&amp;K$5&amp;"FAM",CHOOSE({1,2},TRIM('QS Raw Results'!$B$41:$B$233)&amp;TRIM('QS Raw Results'!$G$41:$G$233),'QS Raw Results'!$I$41:$I$233),2,FALSE))</f>
        <v>31.280999999999999</v>
      </c>
      <c r="L13" s="4">
        <f t="array" ref="L13">IF(VLOOKUP($B13&amp;L$5&amp;"FAM",CHOOSE({1,2},TRIM('QS Raw Results'!$B$41:$B$233)&amp;TRIM('QS Raw Results'!$G$41:$G$233),'QS Raw Results'!$I$41:$I$233),2,FALSE)="Undetermined",0,VLOOKUP($B13&amp;L$5&amp;"FAM",CHOOSE({1,2},TRIM('QS Raw Results'!$B$41:$B$233)&amp;TRIM('QS Raw Results'!$G$41:$G$233),'QS Raw Results'!$I$41:$I$233),2,FALSE))</f>
        <v>0</v>
      </c>
      <c r="M13" s="4">
        <f t="array" ref="M13">IF(VLOOKUP($B13&amp;M$5&amp;"FAM",CHOOSE({1,2},TRIM('QS Raw Results'!$B$41:$B$233)&amp;TRIM('QS Raw Results'!$G$41:$G$233),'QS Raw Results'!$I$41:$I$233),2,FALSE)="Undetermined",0,VLOOKUP($B13&amp;M$5&amp;"FAM",CHOOSE({1,2},TRIM('QS Raw Results'!$B$41:$B$233)&amp;TRIM('QS Raw Results'!$G$41:$G$233),'QS Raw Results'!$I$41:$I$233),2,FALSE))</f>
        <v>0</v>
      </c>
      <c r="N13" s="4">
        <f t="array" ref="N13">IF(VLOOKUP($B13&amp;N$5&amp;"FAM",CHOOSE({1,2},TRIM('QS Raw Results'!$B$41:$B$233)&amp;TRIM('QS Raw Results'!$G$41:$G$233),'QS Raw Results'!$I$41:$I$233),2,FALSE)="Undetermined",0,VLOOKUP($B13&amp;N$5&amp;"FAM",CHOOSE({1,2},TRIM('QS Raw Results'!$B$41:$B$233)&amp;TRIM('QS Raw Results'!$G$41:$G$233),'QS Raw Results'!$I$41:$I$233),2,FALSE))</f>
        <v>0</v>
      </c>
      <c r="P13" s="3" t="s">
        <v>19</v>
      </c>
      <c r="Q13" s="2">
        <f t="array" ref="Q13:S13">C13:E13</f>
        <v>0</v>
      </c>
      <c r="R13" s="2">
        <v>0</v>
      </c>
      <c r="S13" s="2">
        <v>0</v>
      </c>
      <c r="T13" s="2">
        <f>IFERROR(AVERAGEIF(_xlfn.ANCHORARRAY(Q13),"&lt;&gt;0"),0)</f>
        <v>0</v>
      </c>
      <c r="U13" s="2">
        <f>IFERROR((_xlfn.STDEV.P(Q13:S13)/SQRT(3)),0)</f>
        <v>0</v>
      </c>
      <c r="V13" s="2">
        <f>IF(T13=0,0,10^((T13-'QS RNase P Analysis'!$R$34)/'QS RNase P Analysis'!$R$35))</f>
        <v>0</v>
      </c>
      <c r="Z13" s="3" t="s">
        <v>19</v>
      </c>
      <c r="AA13" s="2">
        <f t="array" ref="AA13:AC13">C26:E26</f>
        <v>35.604999999999997</v>
      </c>
      <c r="AB13" s="2">
        <v>35.014000000000003</v>
      </c>
      <c r="AC13" s="2">
        <v>35.253999999999998</v>
      </c>
      <c r="AD13" s="2">
        <f>IFERROR(AVERAGEIF(_xlfn.ANCHORARRAY(AA13),"&lt;&gt;0"),0)</f>
        <v>35.290999999999997</v>
      </c>
      <c r="AE13" s="2">
        <f t="shared" si="3"/>
        <v>0.14011661809602133</v>
      </c>
      <c r="AF13" s="2">
        <f>IF(AD13=0,0,10^((AD13-'QS 16S Analysis'!$R$34)/'QS 16S Analysis'!$R$35))</f>
        <v>1.4177426585484511E-2</v>
      </c>
    </row>
    <row r="14" spans="2:32">
      <c r="V14" s="2"/>
      <c r="AF14" s="2"/>
    </row>
    <row r="15" spans="2:32">
      <c r="P15" s="10" t="s">
        <v>362</v>
      </c>
      <c r="V15" s="2"/>
      <c r="Z15" s="10" t="s">
        <v>364</v>
      </c>
      <c r="AF15" s="2"/>
    </row>
    <row r="16" spans="2:32">
      <c r="B16" s="10" t="s">
        <v>360</v>
      </c>
      <c r="V16" s="2"/>
      <c r="AF16" s="2"/>
    </row>
    <row r="17" spans="2:32">
      <c r="P17" s="24" t="s">
        <v>267</v>
      </c>
      <c r="Q17" s="24" t="s">
        <v>268</v>
      </c>
      <c r="R17" s="24" t="s">
        <v>269</v>
      </c>
      <c r="S17" s="24" t="s">
        <v>270</v>
      </c>
      <c r="T17" s="24" t="s">
        <v>166</v>
      </c>
      <c r="U17" s="24" t="s">
        <v>293</v>
      </c>
      <c r="V17" s="86" t="s">
        <v>295</v>
      </c>
      <c r="Z17" s="24" t="s">
        <v>267</v>
      </c>
      <c r="AA17" s="24" t="s">
        <v>268</v>
      </c>
      <c r="AB17" s="24" t="s">
        <v>269</v>
      </c>
      <c r="AC17" s="24" t="s">
        <v>270</v>
      </c>
      <c r="AD17" s="24" t="s">
        <v>166</v>
      </c>
      <c r="AE17" s="24" t="s">
        <v>293</v>
      </c>
      <c r="AF17" s="86" t="s">
        <v>295</v>
      </c>
    </row>
    <row r="18" spans="2:32">
      <c r="B18" s="4"/>
      <c r="C18" s="4">
        <v>1</v>
      </c>
      <c r="D18" s="4">
        <v>2</v>
      </c>
      <c r="E18" s="4">
        <v>3</v>
      </c>
      <c r="F18" s="4">
        <v>4</v>
      </c>
      <c r="G18" s="4">
        <v>5</v>
      </c>
      <c r="H18" s="4">
        <v>6</v>
      </c>
      <c r="I18" s="4">
        <v>7</v>
      </c>
      <c r="J18" s="4">
        <v>8</v>
      </c>
      <c r="K18" s="4">
        <v>9</v>
      </c>
      <c r="L18" s="4">
        <v>10</v>
      </c>
      <c r="M18" s="4">
        <v>11</v>
      </c>
      <c r="N18" s="4">
        <v>12</v>
      </c>
      <c r="P18" s="3">
        <v>1</v>
      </c>
      <c r="Q18" s="2">
        <f t="array" ref="Q18:S18">F6:H6</f>
        <v>32.4</v>
      </c>
      <c r="R18" s="2">
        <v>32.847000000000001</v>
      </c>
      <c r="S18" s="2">
        <v>32.975000000000001</v>
      </c>
      <c r="T18" s="2">
        <f>IFERROR(AVERAGEIF(_xlfn.ANCHORARRAY(Q18),"&lt;&gt;0"),0)</f>
        <v>32.740666666666669</v>
      </c>
      <c r="U18" s="2">
        <f>IFERROR((_xlfn.STDEV.P(Q18:S18)/SQRT(3)),0)</f>
        <v>0.14231134360450237</v>
      </c>
      <c r="V18" s="2">
        <f>IF(T18=0,0,10^((T18-'QS RNase P Analysis'!$R$34)/'QS RNase P Analysis'!$R$35))</f>
        <v>113.079623905669</v>
      </c>
      <c r="Z18" s="3">
        <v>1</v>
      </c>
      <c r="AA18" s="2">
        <f t="array" ref="AA18:AC18">F19:H19</f>
        <v>20.882000000000001</v>
      </c>
      <c r="AB18" s="2">
        <v>21.007999999999999</v>
      </c>
      <c r="AC18" s="2">
        <v>20.864000000000001</v>
      </c>
      <c r="AD18" s="2">
        <f>IFERROR(AVERAGEIF(_xlfn.ANCHORARRAY(AA18),"&lt;&gt;0"),0)</f>
        <v>20.918000000000003</v>
      </c>
      <c r="AE18" s="2">
        <f>IFERROR((_xlfn.STDEV.P(AA18:AC18)/SQRT(3)),0)</f>
        <v>3.6986484017813341E-2</v>
      </c>
      <c r="AF18" s="2">
        <f>IF(AD18=0,0,10^((AD18-'QS 16S Analysis'!$R$34)/'QS 16S Analysis'!$R$35))</f>
        <v>135.2167500404237</v>
      </c>
    </row>
    <row r="19" spans="2:32">
      <c r="B19" s="4" t="s">
        <v>11</v>
      </c>
      <c r="C19" s="4">
        <f t="array" ref="C19">IF(VLOOKUP($B6&amp;C$5&amp;"VIC",CHOOSE({1,2},TRIM('QS Raw Results'!$B$41:$B$233)&amp;TRIM('QS Raw Results'!$G$41:$G$233),'QS Raw Results'!$I$41:$I$233),2,FALSE)="Undetermined",0,VLOOKUP($B6&amp;C$5&amp;"VIC",CHOOSE({1,2},TRIM('QS Raw Results'!$B$41:$B$233)&amp;TRIM('QS Raw Results'!$G$41:$G$233),'QS Raw Results'!$I$41:$I$233),2,FALSE))</f>
        <v>13.061</v>
      </c>
      <c r="D19" s="4">
        <f t="array" ref="D19">IF(VLOOKUP($B6&amp;D$5&amp;"VIC",CHOOSE({1,2},TRIM('QS Raw Results'!$B$41:$B$233)&amp;TRIM('QS Raw Results'!$G$41:$G$233),'QS Raw Results'!$I$41:$I$233),2,FALSE)="Undetermined",0,VLOOKUP($B6&amp;D$5&amp;"VIC",CHOOSE({1,2},TRIM('QS Raw Results'!$B$41:$B$233)&amp;TRIM('QS Raw Results'!$G$41:$G$233),'QS Raw Results'!$I$41:$I$233),2,FALSE))</f>
        <v>13.081</v>
      </c>
      <c r="E19" s="4">
        <f t="array" ref="E19">IF(VLOOKUP($B6&amp;E$5&amp;"VIC",CHOOSE({1,2},TRIM('QS Raw Results'!$B$41:$B$233)&amp;TRIM('QS Raw Results'!$G$41:$G$233),'QS Raw Results'!$I$41:$I$233),2,FALSE)="Undetermined",0,VLOOKUP($B6&amp;E$5&amp;"VIC",CHOOSE({1,2},TRIM('QS Raw Results'!$B$41:$B$233)&amp;TRIM('QS Raw Results'!$G$41:$G$233),'QS Raw Results'!$I$41:$I$233),2,FALSE))</f>
        <v>13.243</v>
      </c>
      <c r="F19" s="4">
        <f t="array" ref="F19">IF(VLOOKUP($B6&amp;F$5&amp;"VIC",CHOOSE({1,2},TRIM('QS Raw Results'!$B$41:$B$233)&amp;TRIM('QS Raw Results'!$G$41:$G$233),'QS Raw Results'!$I$41:$I$233),2,FALSE)="Undetermined",0,VLOOKUP($B6&amp;F$5&amp;"VIC",CHOOSE({1,2},TRIM('QS Raw Results'!$B$41:$B$233)&amp;TRIM('QS Raw Results'!$G$41:$G$233),'QS Raw Results'!$I$41:$I$233),2,FALSE))</f>
        <v>20.882000000000001</v>
      </c>
      <c r="G19" s="4">
        <f t="array" ref="G19">IF(VLOOKUP($B6&amp;G$5&amp;"VIC",CHOOSE({1,2},TRIM('QS Raw Results'!$B$41:$B$233)&amp;TRIM('QS Raw Results'!$G$41:$G$233),'QS Raw Results'!$I$41:$I$233),2,FALSE)="Undetermined",0,VLOOKUP($B6&amp;G$5&amp;"VIC",CHOOSE({1,2},TRIM('QS Raw Results'!$B$41:$B$233)&amp;TRIM('QS Raw Results'!$G$41:$G$233),'QS Raw Results'!$I$41:$I$233),2,FALSE))</f>
        <v>21.007999999999999</v>
      </c>
      <c r="H19" s="4">
        <f t="array" ref="H19">IF(VLOOKUP($B6&amp;H$5&amp;"VIC",CHOOSE({1,2},TRIM('QS Raw Results'!$B$41:$B$233)&amp;TRIM('QS Raw Results'!$G$41:$G$233),'QS Raw Results'!$I$41:$I$233),2,FALSE)="Undetermined",0,VLOOKUP($B6&amp;H$5&amp;"VIC",CHOOSE({1,2},TRIM('QS Raw Results'!$B$41:$B$233)&amp;TRIM('QS Raw Results'!$G$41:$G$233),'QS Raw Results'!$I$41:$I$233),2,FALSE))</f>
        <v>20.864000000000001</v>
      </c>
      <c r="I19" s="4">
        <f t="array" ref="I19">IF(VLOOKUP($B6&amp;I$5&amp;"VIC",CHOOSE({1,2},TRIM('QS Raw Results'!$B$41:$B$233)&amp;TRIM('QS Raw Results'!$G$41:$G$233),'QS Raw Results'!$I$41:$I$233),2,FALSE)="Undetermined",0,VLOOKUP($B6&amp;I$5&amp;"VIC",CHOOSE({1,2},TRIM('QS Raw Results'!$B$41:$B$233)&amp;TRIM('QS Raw Results'!$G$41:$G$233),'QS Raw Results'!$I$41:$I$233),2,FALSE))</f>
        <v>26.018999999999998</v>
      </c>
      <c r="J19" s="4">
        <f t="array" ref="J19">IF(VLOOKUP($B6&amp;J$5&amp;"VIC",CHOOSE({1,2},TRIM('QS Raw Results'!$B$41:$B$233)&amp;TRIM('QS Raw Results'!$G$41:$G$233),'QS Raw Results'!$I$41:$I$233),2,FALSE)="Undetermined",0,VLOOKUP($B6&amp;J$5&amp;"VIC",CHOOSE({1,2},TRIM('QS Raw Results'!$B$41:$B$233)&amp;TRIM('QS Raw Results'!$G$41:$G$233),'QS Raw Results'!$I$41:$I$233),2,FALSE))</f>
        <v>26.074000000000002</v>
      </c>
      <c r="K19" s="4">
        <f t="array" ref="K19">IF(VLOOKUP($B6&amp;K$5&amp;"VIC",CHOOSE({1,2},TRIM('QS Raw Results'!$B$41:$B$233)&amp;TRIM('QS Raw Results'!$G$41:$G$233),'QS Raw Results'!$I$41:$I$233),2,FALSE)="Undetermined",0,VLOOKUP($B6&amp;K$5&amp;"VIC",CHOOSE({1,2},TRIM('QS Raw Results'!$B$41:$B$233)&amp;TRIM('QS Raw Results'!$G$41:$G$233),'QS Raw Results'!$I$41:$I$233),2,FALSE))</f>
        <v>26.120999999999999</v>
      </c>
      <c r="L19" s="4">
        <f t="array" ref="L19">IF(VLOOKUP($B6&amp;L$5&amp;"VIC",CHOOSE({1,2},TRIM('QS Raw Results'!$B$41:$B$233)&amp;TRIM('QS Raw Results'!$G$41:$G$233),'QS Raw Results'!$I$41:$I$233),2,FALSE)="Undetermined",0,VLOOKUP($B6&amp;L$5&amp;"VIC",CHOOSE({1,2},TRIM('QS Raw Results'!$B$41:$B$233)&amp;TRIM('QS Raw Results'!$G$41:$G$233),'QS Raw Results'!$I$41:$I$233),2,FALSE))</f>
        <v>20.302</v>
      </c>
      <c r="M19" s="4">
        <f t="array" ref="M19">IF(VLOOKUP($B6&amp;M$5&amp;"VIC",CHOOSE({1,2},TRIM('QS Raw Results'!$B$41:$B$233)&amp;TRIM('QS Raw Results'!$G$41:$G$233),'QS Raw Results'!$I$41:$I$233),2,FALSE)="Undetermined",0,VLOOKUP($B6&amp;M$5&amp;"VIC",CHOOSE({1,2},TRIM('QS Raw Results'!$B$41:$B$233)&amp;TRIM('QS Raw Results'!$G$41:$G$233),'QS Raw Results'!$I$41:$I$233),2,FALSE))</f>
        <v>20.689</v>
      </c>
      <c r="N19" s="4">
        <f t="array" ref="N19">IF(VLOOKUP($B6&amp;N$5&amp;"VIC",CHOOSE({1,2},TRIM('QS Raw Results'!$B$41:$B$233)&amp;TRIM('QS Raw Results'!$G$41:$G$233),'QS Raw Results'!$I$41:$I$233),2,FALSE)="Undetermined",0,VLOOKUP($B6&amp;N$5&amp;"VIC",CHOOSE({1,2},TRIM('QS Raw Results'!$B$41:$B$233)&amp;TRIM('QS Raw Results'!$G$41:$G$233),'QS Raw Results'!$I$41:$I$233),2,FALSE))</f>
        <v>20.672999999999998</v>
      </c>
      <c r="P19" s="3">
        <v>2</v>
      </c>
      <c r="Q19" s="2">
        <f t="array" ref="Q19:S19">F7:H7</f>
        <v>31.687000000000001</v>
      </c>
      <c r="R19" s="2">
        <v>31.850999999999999</v>
      </c>
      <c r="S19" s="2">
        <v>31.902999999999999</v>
      </c>
      <c r="T19" s="2">
        <f t="shared" ref="T19:T40" si="4">IFERROR(AVERAGEIF(_xlfn.ANCHORARRAY(Q19),"&lt;&gt;0"),0)</f>
        <v>31.813666666666666</v>
      </c>
      <c r="U19" s="2">
        <f t="shared" ref="U19:U40" si="5">IFERROR((_xlfn.STDEV.P(Q19:S19)/SQRT(3)),0)</f>
        <v>5.3144108763777669E-2</v>
      </c>
      <c r="V19" s="2">
        <f>IF(T19=0,0,10^((T19-'QS RNase P Analysis'!$R$34)/'QS RNase P Analysis'!$R$35))</f>
        <v>207.98307064184183</v>
      </c>
      <c r="Z19" s="3">
        <v>2</v>
      </c>
      <c r="AA19" s="2">
        <f t="array" ref="AA19:AC19">F20:H20</f>
        <v>18.856999999999999</v>
      </c>
      <c r="AB19" s="2">
        <v>19.117999999999999</v>
      </c>
      <c r="AC19" s="2">
        <v>18.87</v>
      </c>
      <c r="AD19" s="2">
        <f>IFERROR(AVERAGEIF(_xlfn.ANCHORARRAY(AA19),"&lt;&gt;0"),0)</f>
        <v>18.948333333333334</v>
      </c>
      <c r="AE19" s="2">
        <f t="shared" ref="AE19:AE41" si="6">IFERROR((_xlfn.STDEV.P(AA19:AC19)/SQRT(3)),0)</f>
        <v>6.933386751930927E-2</v>
      </c>
      <c r="AF19" s="2">
        <f>IF(AD19=0,0,10^((AD19-'QS 16S Analysis'!$R$34)/'QS 16S Analysis'!$R$35))</f>
        <v>474.64558063471537</v>
      </c>
    </row>
    <row r="20" spans="2:32">
      <c r="B20" s="4" t="s">
        <v>12</v>
      </c>
      <c r="C20" s="4">
        <f t="array" ref="C20">IF(VLOOKUP($B7&amp;C$5&amp;"VIC",CHOOSE({1,2},TRIM('QS Raw Results'!$B$41:$B$233)&amp;TRIM('QS Raw Results'!$G$41:$G$233),'QS Raw Results'!$I$41:$I$233),2,FALSE)="Undetermined",0,VLOOKUP($B7&amp;C$5&amp;"VIC",CHOOSE({1,2},TRIM('QS Raw Results'!$B$41:$B$233)&amp;TRIM('QS Raw Results'!$G$41:$G$233),'QS Raw Results'!$I$41:$I$233),2,FALSE))</f>
        <v>16.265000000000001</v>
      </c>
      <c r="D20" s="4">
        <f t="array" ref="D20">IF(VLOOKUP($B7&amp;D$5&amp;"VIC",CHOOSE({1,2},TRIM('QS Raw Results'!$B$41:$B$233)&amp;TRIM('QS Raw Results'!$G$41:$G$233),'QS Raw Results'!$I$41:$I$233),2,FALSE)="Undetermined",0,VLOOKUP($B7&amp;D$5&amp;"VIC",CHOOSE({1,2},TRIM('QS Raw Results'!$B$41:$B$233)&amp;TRIM('QS Raw Results'!$G$41:$G$233),'QS Raw Results'!$I$41:$I$233),2,FALSE))</f>
        <v>16.202000000000002</v>
      </c>
      <c r="E20" s="4">
        <f t="array" ref="E20">IF(VLOOKUP($B7&amp;E$5&amp;"VIC",CHOOSE({1,2},TRIM('QS Raw Results'!$B$41:$B$233)&amp;TRIM('QS Raw Results'!$G$41:$G$233),'QS Raw Results'!$I$41:$I$233),2,FALSE)="Undetermined",0,VLOOKUP($B7&amp;E$5&amp;"VIC",CHOOSE({1,2},TRIM('QS Raw Results'!$B$41:$B$233)&amp;TRIM('QS Raw Results'!$G$41:$G$233),'QS Raw Results'!$I$41:$I$233),2,FALSE))</f>
        <v>16.138999999999999</v>
      </c>
      <c r="F20" s="4">
        <f t="array" ref="F20">IF(VLOOKUP($B7&amp;F$5&amp;"VIC",CHOOSE({1,2},TRIM('QS Raw Results'!$B$41:$B$233)&amp;TRIM('QS Raw Results'!$G$41:$G$233),'QS Raw Results'!$I$41:$I$233),2,FALSE)="Undetermined",0,VLOOKUP($B7&amp;F$5&amp;"VIC",CHOOSE({1,2},TRIM('QS Raw Results'!$B$41:$B$233)&amp;TRIM('QS Raw Results'!$G$41:$G$233),'QS Raw Results'!$I$41:$I$233),2,FALSE))</f>
        <v>18.856999999999999</v>
      </c>
      <c r="G20" s="4">
        <f t="array" ref="G20">IF(VLOOKUP($B7&amp;G$5&amp;"VIC",CHOOSE({1,2},TRIM('QS Raw Results'!$B$41:$B$233)&amp;TRIM('QS Raw Results'!$G$41:$G$233),'QS Raw Results'!$I$41:$I$233),2,FALSE)="Undetermined",0,VLOOKUP($B7&amp;G$5&amp;"VIC",CHOOSE({1,2},TRIM('QS Raw Results'!$B$41:$B$233)&amp;TRIM('QS Raw Results'!$G$41:$G$233),'QS Raw Results'!$I$41:$I$233),2,FALSE))</f>
        <v>19.117999999999999</v>
      </c>
      <c r="H20" s="4">
        <f t="array" ref="H20">IF(VLOOKUP($B7&amp;H$5&amp;"VIC",CHOOSE({1,2},TRIM('QS Raw Results'!$B$41:$B$233)&amp;TRIM('QS Raw Results'!$G$41:$G$233),'QS Raw Results'!$I$41:$I$233),2,FALSE)="Undetermined",0,VLOOKUP($B7&amp;H$5&amp;"VIC",CHOOSE({1,2},TRIM('QS Raw Results'!$B$41:$B$233)&amp;TRIM('QS Raw Results'!$G$41:$G$233),'QS Raw Results'!$I$41:$I$233),2,FALSE))</f>
        <v>18.87</v>
      </c>
      <c r="I20" s="4">
        <f t="array" ref="I20">IF(VLOOKUP($B7&amp;I$5&amp;"VIC",CHOOSE({1,2},TRIM('QS Raw Results'!$B$41:$B$233)&amp;TRIM('QS Raw Results'!$G$41:$G$233),'QS Raw Results'!$I$41:$I$233),2,FALSE)="Undetermined",0,VLOOKUP($B7&amp;I$5&amp;"VIC",CHOOSE({1,2},TRIM('QS Raw Results'!$B$41:$B$233)&amp;TRIM('QS Raw Results'!$G$41:$G$233),'QS Raw Results'!$I$41:$I$233),2,FALSE))</f>
        <v>17.718</v>
      </c>
      <c r="J20" s="4">
        <f t="array" ref="J20">IF(VLOOKUP($B7&amp;J$5&amp;"VIC",CHOOSE({1,2},TRIM('QS Raw Results'!$B$41:$B$233)&amp;TRIM('QS Raw Results'!$G$41:$G$233),'QS Raw Results'!$I$41:$I$233),2,FALSE)="Undetermined",0,VLOOKUP($B7&amp;J$5&amp;"VIC",CHOOSE({1,2},TRIM('QS Raw Results'!$B$41:$B$233)&amp;TRIM('QS Raw Results'!$G$41:$G$233),'QS Raw Results'!$I$41:$I$233),2,FALSE))</f>
        <v>17.760000000000002</v>
      </c>
      <c r="K20" s="4">
        <f t="array" ref="K20">IF(VLOOKUP($B7&amp;K$5&amp;"VIC",CHOOSE({1,2},TRIM('QS Raw Results'!$B$41:$B$233)&amp;TRIM('QS Raw Results'!$G$41:$G$233),'QS Raw Results'!$I$41:$I$233),2,FALSE)="Undetermined",0,VLOOKUP($B7&amp;K$5&amp;"VIC",CHOOSE({1,2},TRIM('QS Raw Results'!$B$41:$B$233)&amp;TRIM('QS Raw Results'!$G$41:$G$233),'QS Raw Results'!$I$41:$I$233),2,FALSE))</f>
        <v>17.834</v>
      </c>
      <c r="L20" s="4">
        <f t="array" ref="L20">IF(VLOOKUP($B7&amp;L$5&amp;"VIC",CHOOSE({1,2},TRIM('QS Raw Results'!$B$41:$B$233)&amp;TRIM('QS Raw Results'!$G$41:$G$233),'QS Raw Results'!$I$41:$I$233),2,FALSE)="Undetermined",0,VLOOKUP($B7&amp;L$5&amp;"VIC",CHOOSE({1,2},TRIM('QS Raw Results'!$B$41:$B$233)&amp;TRIM('QS Raw Results'!$G$41:$G$233),'QS Raw Results'!$I$41:$I$233),2,FALSE))</f>
        <v>19.425999999999998</v>
      </c>
      <c r="M20" s="4">
        <f t="array" ref="M20">IF(VLOOKUP($B7&amp;M$5&amp;"VIC",CHOOSE({1,2},TRIM('QS Raw Results'!$B$41:$B$233)&amp;TRIM('QS Raw Results'!$G$41:$G$233),'QS Raw Results'!$I$41:$I$233),2,FALSE)="Undetermined",0,VLOOKUP($B7&amp;M$5&amp;"VIC",CHOOSE({1,2},TRIM('QS Raw Results'!$B$41:$B$233)&amp;TRIM('QS Raw Results'!$G$41:$G$233),'QS Raw Results'!$I$41:$I$233),2,FALSE))</f>
        <v>19.582000000000001</v>
      </c>
      <c r="N20" s="4">
        <f t="array" ref="N20">IF(VLOOKUP($B7&amp;N$5&amp;"VIC",CHOOSE({1,2},TRIM('QS Raw Results'!$B$41:$B$233)&amp;TRIM('QS Raw Results'!$G$41:$G$233),'QS Raw Results'!$I$41:$I$233),2,FALSE)="Undetermined",0,VLOOKUP($B7&amp;N$5&amp;"VIC",CHOOSE({1,2},TRIM('QS Raw Results'!$B$41:$B$233)&amp;TRIM('QS Raw Results'!$G$41:$G$233),'QS Raw Results'!$I$41:$I$233),2,FALSE))</f>
        <v>19.795999999999999</v>
      </c>
      <c r="P20" s="3">
        <v>3</v>
      </c>
      <c r="Q20" s="2">
        <f t="array" ref="Q20:S20">F8:H8</f>
        <v>29.847000000000001</v>
      </c>
      <c r="R20" s="2">
        <v>30.192</v>
      </c>
      <c r="S20" s="2">
        <v>30.452999999999999</v>
      </c>
      <c r="T20" s="2">
        <f t="shared" si="4"/>
        <v>30.164000000000001</v>
      </c>
      <c r="U20" s="2">
        <f t="shared" si="5"/>
        <v>0.14329224217195619</v>
      </c>
      <c r="V20" s="2">
        <f>IF(T20=0,0,10^((T20-'QS RNase P Analysis'!$R$34)/'QS RNase P Analysis'!$R$35))</f>
        <v>615.15046633063912</v>
      </c>
      <c r="Z20" s="3">
        <v>3</v>
      </c>
      <c r="AA20" s="2">
        <f t="array" ref="AA20:AC20">F21:H21</f>
        <v>25.404</v>
      </c>
      <c r="AB20" s="2">
        <v>25.986999999999998</v>
      </c>
      <c r="AC20" s="2">
        <v>26.225999999999999</v>
      </c>
      <c r="AD20" s="2">
        <f t="shared" ref="AD20:AD41" si="7">IFERROR(AVERAGEIF(_xlfn.ANCHORARRAY(AA20),"&lt;&gt;0"),0)</f>
        <v>25.87233333333333</v>
      </c>
      <c r="AE20" s="2">
        <f t="shared" si="6"/>
        <v>0.19932237056438826</v>
      </c>
      <c r="AF20" s="2">
        <f>IF(AD20=0,0,10^((AD20-'QS 16S Analysis'!$R$34)/'QS 16S Analysis'!$R$35))</f>
        <v>5.7455408751555783</v>
      </c>
    </row>
    <row r="21" spans="2:32">
      <c r="B21" s="4" t="s">
        <v>13</v>
      </c>
      <c r="C21" s="4">
        <f t="array" ref="C21">IF(VLOOKUP($B8&amp;C$5&amp;"VIC",CHOOSE({1,2},TRIM('QS Raw Results'!$B$41:$B$233)&amp;TRIM('QS Raw Results'!$G$41:$G$233),'QS Raw Results'!$I$41:$I$233),2,FALSE)="Undetermined",0,VLOOKUP($B8&amp;C$5&amp;"VIC",CHOOSE({1,2},TRIM('QS Raw Results'!$B$41:$B$233)&amp;TRIM('QS Raw Results'!$G$41:$G$233),'QS Raw Results'!$I$41:$I$233),2,FALSE))</f>
        <v>19.777000000000001</v>
      </c>
      <c r="D21" s="4">
        <f t="array" ref="D21">IF(VLOOKUP($B8&amp;D$5&amp;"VIC",CHOOSE({1,2},TRIM('QS Raw Results'!$B$41:$B$233)&amp;TRIM('QS Raw Results'!$G$41:$G$233),'QS Raw Results'!$I$41:$I$233),2,FALSE)="Undetermined",0,VLOOKUP($B8&amp;D$5&amp;"VIC",CHOOSE({1,2},TRIM('QS Raw Results'!$B$41:$B$233)&amp;TRIM('QS Raw Results'!$G$41:$G$233),'QS Raw Results'!$I$41:$I$233),2,FALSE))</f>
        <v>19.597000000000001</v>
      </c>
      <c r="E21" s="4">
        <f t="array" ref="E21">IF(VLOOKUP($B8&amp;E$5&amp;"VIC",CHOOSE({1,2},TRIM('QS Raw Results'!$B$41:$B$233)&amp;TRIM('QS Raw Results'!$G$41:$G$233),'QS Raw Results'!$I$41:$I$233),2,FALSE)="Undetermined",0,VLOOKUP($B8&amp;E$5&amp;"VIC",CHOOSE({1,2},TRIM('QS Raw Results'!$B$41:$B$233)&amp;TRIM('QS Raw Results'!$G$41:$G$233),'QS Raw Results'!$I$41:$I$233),2,FALSE))</f>
        <v>19.661999999999999</v>
      </c>
      <c r="F21" s="4">
        <f t="array" ref="F21">IF(VLOOKUP($B8&amp;F$5&amp;"VIC",CHOOSE({1,2},TRIM('QS Raw Results'!$B$41:$B$233)&amp;TRIM('QS Raw Results'!$G$41:$G$233),'QS Raw Results'!$I$41:$I$233),2,FALSE)="Undetermined",0,VLOOKUP($B8&amp;F$5&amp;"VIC",CHOOSE({1,2},TRIM('QS Raw Results'!$B$41:$B$233)&amp;TRIM('QS Raw Results'!$G$41:$G$233),'QS Raw Results'!$I$41:$I$233),2,FALSE))</f>
        <v>25.404</v>
      </c>
      <c r="G21" s="4">
        <f t="array" ref="G21">IF(VLOOKUP($B8&amp;G$5&amp;"VIC",CHOOSE({1,2},TRIM('QS Raw Results'!$B$41:$B$233)&amp;TRIM('QS Raw Results'!$G$41:$G$233),'QS Raw Results'!$I$41:$I$233),2,FALSE)="Undetermined",0,VLOOKUP($B8&amp;G$5&amp;"VIC",CHOOSE({1,2},TRIM('QS Raw Results'!$B$41:$B$233)&amp;TRIM('QS Raw Results'!$G$41:$G$233),'QS Raw Results'!$I$41:$I$233),2,FALSE))</f>
        <v>25.986999999999998</v>
      </c>
      <c r="H21" s="4">
        <f t="array" ref="H21">IF(VLOOKUP($B8&amp;H$5&amp;"VIC",CHOOSE({1,2},TRIM('QS Raw Results'!$B$41:$B$233)&amp;TRIM('QS Raw Results'!$G$41:$G$233),'QS Raw Results'!$I$41:$I$233),2,FALSE)="Undetermined",0,VLOOKUP($B8&amp;H$5&amp;"VIC",CHOOSE({1,2},TRIM('QS Raw Results'!$B$41:$B$233)&amp;TRIM('QS Raw Results'!$G$41:$G$233),'QS Raw Results'!$I$41:$I$233),2,FALSE))</f>
        <v>26.225999999999999</v>
      </c>
      <c r="I21" s="4">
        <f t="array" ref="I21">IF(VLOOKUP($B8&amp;I$5&amp;"VIC",CHOOSE({1,2},TRIM('QS Raw Results'!$B$41:$B$233)&amp;TRIM('QS Raw Results'!$G$41:$G$233),'QS Raw Results'!$I$41:$I$233),2,FALSE)="Undetermined",0,VLOOKUP($B8&amp;I$5&amp;"VIC",CHOOSE({1,2},TRIM('QS Raw Results'!$B$41:$B$233)&amp;TRIM('QS Raw Results'!$G$41:$G$233),'QS Raw Results'!$I$41:$I$233),2,FALSE))</f>
        <v>18.974</v>
      </c>
      <c r="J21" s="4">
        <f t="array" ref="J21">IF(VLOOKUP($B8&amp;J$5&amp;"VIC",CHOOSE({1,2},TRIM('QS Raw Results'!$B$41:$B$233)&amp;TRIM('QS Raw Results'!$G$41:$G$233),'QS Raw Results'!$I$41:$I$233),2,FALSE)="Undetermined",0,VLOOKUP($B8&amp;J$5&amp;"VIC",CHOOSE({1,2},TRIM('QS Raw Results'!$B$41:$B$233)&amp;TRIM('QS Raw Results'!$G$41:$G$233),'QS Raw Results'!$I$41:$I$233),2,FALSE))</f>
        <v>19.029</v>
      </c>
      <c r="K21" s="4">
        <f t="array" ref="K21">IF(VLOOKUP($B8&amp;K$5&amp;"VIC",CHOOSE({1,2},TRIM('QS Raw Results'!$B$41:$B$233)&amp;TRIM('QS Raw Results'!$G$41:$G$233),'QS Raw Results'!$I$41:$I$233),2,FALSE)="Undetermined",0,VLOOKUP($B8&amp;K$5&amp;"VIC",CHOOSE({1,2},TRIM('QS Raw Results'!$B$41:$B$233)&amp;TRIM('QS Raw Results'!$G$41:$G$233),'QS Raw Results'!$I$41:$I$233),2,FALSE))</f>
        <v>19.11</v>
      </c>
      <c r="L21" s="4">
        <f t="array" ref="L21">IF(VLOOKUP($B8&amp;L$5&amp;"VIC",CHOOSE({1,2},TRIM('QS Raw Results'!$B$41:$B$233)&amp;TRIM('QS Raw Results'!$G$41:$G$233),'QS Raw Results'!$I$41:$I$233),2,FALSE)="Undetermined",0,VLOOKUP($B8&amp;L$5&amp;"VIC",CHOOSE({1,2},TRIM('QS Raw Results'!$B$41:$B$233)&amp;TRIM('QS Raw Results'!$G$41:$G$233),'QS Raw Results'!$I$41:$I$233),2,FALSE))</f>
        <v>18.989999999999998</v>
      </c>
      <c r="M21" s="4">
        <f t="array" ref="M21">IF(VLOOKUP($B8&amp;M$5&amp;"VIC",CHOOSE({1,2},TRIM('QS Raw Results'!$B$41:$B$233)&amp;TRIM('QS Raw Results'!$G$41:$G$233),'QS Raw Results'!$I$41:$I$233),2,FALSE)="Undetermined",0,VLOOKUP($B8&amp;M$5&amp;"VIC",CHOOSE({1,2},TRIM('QS Raw Results'!$B$41:$B$233)&amp;TRIM('QS Raw Results'!$G$41:$G$233),'QS Raw Results'!$I$41:$I$233),2,FALSE))</f>
        <v>18.988</v>
      </c>
      <c r="N21" s="4">
        <f t="array" ref="N21">IF(VLOOKUP($B8&amp;N$5&amp;"VIC",CHOOSE({1,2},TRIM('QS Raw Results'!$B$41:$B$233)&amp;TRIM('QS Raw Results'!$G$41:$G$233),'QS Raw Results'!$I$41:$I$233),2,FALSE)="Undetermined",0,VLOOKUP($B8&amp;N$5&amp;"VIC",CHOOSE({1,2},TRIM('QS Raw Results'!$B$41:$B$233)&amp;TRIM('QS Raw Results'!$G$41:$G$233),'QS Raw Results'!$I$41:$I$233),2,FALSE))</f>
        <v>18.97</v>
      </c>
      <c r="P21" s="3">
        <v>4</v>
      </c>
      <c r="Q21" s="2">
        <f t="array" ref="Q21:S21">F9:H9</f>
        <v>29.895</v>
      </c>
      <c r="R21" s="2">
        <v>29.943000000000001</v>
      </c>
      <c r="S21" s="2">
        <v>29.695</v>
      </c>
      <c r="T21" s="2">
        <f t="shared" si="4"/>
        <v>29.844333333333335</v>
      </c>
      <c r="U21" s="2">
        <f t="shared" si="5"/>
        <v>6.2005973427894483E-2</v>
      </c>
      <c r="V21" s="2">
        <f>IF(T21=0,0,10^((T21-'QS RNase P Analysis'!$R$34)/'QS RNase P Analysis'!$R$35))</f>
        <v>758.99875458213012</v>
      </c>
      <c r="Z21" s="3">
        <v>4</v>
      </c>
      <c r="AA21" s="2">
        <f t="array" ref="AA21:AC21">F22:H22</f>
        <v>19.100999999999999</v>
      </c>
      <c r="AB21" s="2">
        <v>19.126999999999999</v>
      </c>
      <c r="AC21" s="2">
        <v>18.968</v>
      </c>
      <c r="AD21" s="2">
        <f t="shared" si="7"/>
        <v>19.065333333333331</v>
      </c>
      <c r="AE21" s="2">
        <f t="shared" si="6"/>
        <v>4.0205951282347455E-2</v>
      </c>
      <c r="AF21" s="2">
        <f>IF(AD21=0,0,10^((AD21-'QS 16S Analysis'!$R$34)/'QS 16S Analysis'!$R$35))</f>
        <v>440.53032516599131</v>
      </c>
    </row>
    <row r="22" spans="2:32">
      <c r="B22" s="4" t="s">
        <v>14</v>
      </c>
      <c r="C22" s="4">
        <f t="array" ref="C22">IF(VLOOKUP($B9&amp;C$5&amp;"VIC",CHOOSE({1,2},TRIM('QS Raw Results'!$B$41:$B$233)&amp;TRIM('QS Raw Results'!$G$41:$G$233),'QS Raw Results'!$I$41:$I$233),2,FALSE)="Undetermined",0,VLOOKUP($B9&amp;C$5&amp;"VIC",CHOOSE({1,2},TRIM('QS Raw Results'!$B$41:$B$233)&amp;TRIM('QS Raw Results'!$G$41:$G$233),'QS Raw Results'!$I$41:$I$233),2,FALSE))</f>
        <v>22.983000000000001</v>
      </c>
      <c r="D22" s="4">
        <f t="array" ref="D22">IF(VLOOKUP($B9&amp;D$5&amp;"VIC",CHOOSE({1,2},TRIM('QS Raw Results'!$B$41:$B$233)&amp;TRIM('QS Raw Results'!$G$41:$G$233),'QS Raw Results'!$I$41:$I$233),2,FALSE)="Undetermined",0,VLOOKUP($B9&amp;D$5&amp;"VIC",CHOOSE({1,2},TRIM('QS Raw Results'!$B$41:$B$233)&amp;TRIM('QS Raw Results'!$G$41:$G$233),'QS Raw Results'!$I$41:$I$233),2,FALSE))</f>
        <v>22.978999999999999</v>
      </c>
      <c r="E22" s="4">
        <f t="array" ref="E22">IF(VLOOKUP($B9&amp;E$5&amp;"VIC",CHOOSE({1,2},TRIM('QS Raw Results'!$B$41:$B$233)&amp;TRIM('QS Raw Results'!$G$41:$G$233),'QS Raw Results'!$I$41:$I$233),2,FALSE)="Undetermined",0,VLOOKUP($B9&amp;E$5&amp;"VIC",CHOOSE({1,2},TRIM('QS Raw Results'!$B$41:$B$233)&amp;TRIM('QS Raw Results'!$G$41:$G$233),'QS Raw Results'!$I$41:$I$233),2,FALSE))</f>
        <v>22.843</v>
      </c>
      <c r="F22" s="4">
        <f t="array" ref="F22">IF(VLOOKUP($B9&amp;F$5&amp;"VIC",CHOOSE({1,2},TRIM('QS Raw Results'!$B$41:$B$233)&amp;TRIM('QS Raw Results'!$G$41:$G$233),'QS Raw Results'!$I$41:$I$233),2,FALSE)="Undetermined",0,VLOOKUP($B9&amp;F$5&amp;"VIC",CHOOSE({1,2},TRIM('QS Raw Results'!$B$41:$B$233)&amp;TRIM('QS Raw Results'!$G$41:$G$233),'QS Raw Results'!$I$41:$I$233),2,FALSE))</f>
        <v>19.100999999999999</v>
      </c>
      <c r="G22" s="4">
        <f t="array" ref="G22">IF(VLOOKUP($B9&amp;G$5&amp;"VIC",CHOOSE({1,2},TRIM('QS Raw Results'!$B$41:$B$233)&amp;TRIM('QS Raw Results'!$G$41:$G$233),'QS Raw Results'!$I$41:$I$233),2,FALSE)="Undetermined",0,VLOOKUP($B9&amp;G$5&amp;"VIC",CHOOSE({1,2},TRIM('QS Raw Results'!$B$41:$B$233)&amp;TRIM('QS Raw Results'!$G$41:$G$233),'QS Raw Results'!$I$41:$I$233),2,FALSE))</f>
        <v>19.126999999999999</v>
      </c>
      <c r="H22" s="4">
        <f t="array" ref="H22">IF(VLOOKUP($B9&amp;H$5&amp;"VIC",CHOOSE({1,2},TRIM('QS Raw Results'!$B$41:$B$233)&amp;TRIM('QS Raw Results'!$G$41:$G$233),'QS Raw Results'!$I$41:$I$233),2,FALSE)="Undetermined",0,VLOOKUP($B9&amp;H$5&amp;"VIC",CHOOSE({1,2},TRIM('QS Raw Results'!$B$41:$B$233)&amp;TRIM('QS Raw Results'!$G$41:$G$233),'QS Raw Results'!$I$41:$I$233),2,FALSE))</f>
        <v>18.968</v>
      </c>
      <c r="I22" s="4">
        <f t="array" ref="I22">IF(VLOOKUP($B9&amp;I$5&amp;"VIC",CHOOSE({1,2},TRIM('QS Raw Results'!$B$41:$B$233)&amp;TRIM('QS Raw Results'!$G$41:$G$233),'QS Raw Results'!$I$41:$I$233),2,FALSE)="Undetermined",0,VLOOKUP($B9&amp;I$5&amp;"VIC",CHOOSE({1,2},TRIM('QS Raw Results'!$B$41:$B$233)&amp;TRIM('QS Raw Results'!$G$41:$G$233),'QS Raw Results'!$I$41:$I$233),2,FALSE))</f>
        <v>15.842000000000001</v>
      </c>
      <c r="J22" s="4">
        <f t="array" ref="J22">IF(VLOOKUP($B9&amp;J$5&amp;"VIC",CHOOSE({1,2},TRIM('QS Raw Results'!$B$41:$B$233)&amp;TRIM('QS Raw Results'!$G$41:$G$233),'QS Raw Results'!$I$41:$I$233),2,FALSE)="Undetermined",0,VLOOKUP($B9&amp;J$5&amp;"VIC",CHOOSE({1,2},TRIM('QS Raw Results'!$B$41:$B$233)&amp;TRIM('QS Raw Results'!$G$41:$G$233),'QS Raw Results'!$I$41:$I$233),2,FALSE))</f>
        <v>15.973000000000001</v>
      </c>
      <c r="K22" s="4">
        <f t="array" ref="K22">IF(VLOOKUP($B9&amp;K$5&amp;"VIC",CHOOSE({1,2},TRIM('QS Raw Results'!$B$41:$B$233)&amp;TRIM('QS Raw Results'!$G$41:$G$233),'QS Raw Results'!$I$41:$I$233),2,FALSE)="Undetermined",0,VLOOKUP($B9&amp;K$5&amp;"VIC",CHOOSE({1,2},TRIM('QS Raw Results'!$B$41:$B$233)&amp;TRIM('QS Raw Results'!$G$41:$G$233),'QS Raw Results'!$I$41:$I$233),2,FALSE))</f>
        <v>16.033000000000001</v>
      </c>
      <c r="L22" s="4">
        <f t="array" ref="L22">IF(VLOOKUP($B9&amp;L$5&amp;"VIC",CHOOSE({1,2},TRIM('QS Raw Results'!$B$41:$B$233)&amp;TRIM('QS Raw Results'!$G$41:$G$233),'QS Raw Results'!$I$41:$I$233),2,FALSE)="Undetermined",0,VLOOKUP($B9&amp;L$5&amp;"VIC",CHOOSE({1,2},TRIM('QS Raw Results'!$B$41:$B$233)&amp;TRIM('QS Raw Results'!$G$41:$G$233),'QS Raw Results'!$I$41:$I$233),2,FALSE))</f>
        <v>20.684999999999999</v>
      </c>
      <c r="M22" s="4">
        <f t="array" ref="M22">IF(VLOOKUP($B9&amp;M$5&amp;"VIC",CHOOSE({1,2},TRIM('QS Raw Results'!$B$41:$B$233)&amp;TRIM('QS Raw Results'!$G$41:$G$233),'QS Raw Results'!$I$41:$I$233),2,FALSE)="Undetermined",0,VLOOKUP($B9&amp;M$5&amp;"VIC",CHOOSE({1,2},TRIM('QS Raw Results'!$B$41:$B$233)&amp;TRIM('QS Raw Results'!$G$41:$G$233),'QS Raw Results'!$I$41:$I$233),2,FALSE))</f>
        <v>21.326000000000001</v>
      </c>
      <c r="N22" s="4">
        <f t="array" ref="N22">IF(VLOOKUP($B9&amp;N$5&amp;"VIC",CHOOSE({1,2},TRIM('QS Raw Results'!$B$41:$B$233)&amp;TRIM('QS Raw Results'!$G$41:$G$233),'QS Raw Results'!$I$41:$I$233),2,FALSE)="Undetermined",0,VLOOKUP($B9&amp;N$5&amp;"VIC",CHOOSE({1,2},TRIM('QS Raw Results'!$B$41:$B$233)&amp;TRIM('QS Raw Results'!$G$41:$G$233),'QS Raw Results'!$I$41:$I$233),2,FALSE))</f>
        <v>21.812000000000001</v>
      </c>
      <c r="P22" s="3">
        <v>5</v>
      </c>
      <c r="Q22" s="2">
        <f t="array" ref="Q22:S22">F10:H10</f>
        <v>28.806999999999999</v>
      </c>
      <c r="R22" s="2">
        <v>28.35</v>
      </c>
      <c r="S22" s="2">
        <v>28.268000000000001</v>
      </c>
      <c r="T22" s="2">
        <f>IFERROR(AVERAGEIF(_xlfn.ANCHORARRAY(Q22),"&lt;&gt;0"),0)</f>
        <v>28.474999999999998</v>
      </c>
      <c r="U22" s="2">
        <f t="shared" si="5"/>
        <v>0.13690954028928023</v>
      </c>
      <c r="V22" s="2">
        <f>IF(T22=0,0,10^((T22-'QS RNase P Analysis'!$R$34)/'QS RNase P Analysis'!$R$35))</f>
        <v>1867.083603664812</v>
      </c>
      <c r="Z22" s="3">
        <v>5</v>
      </c>
      <c r="AA22" s="2">
        <f t="array" ref="AA22:AC22">F23:H23</f>
        <v>21.366</v>
      </c>
      <c r="AB22" s="2">
        <v>20.878</v>
      </c>
      <c r="AC22" s="2">
        <v>20.867000000000001</v>
      </c>
      <c r="AD22" s="2">
        <f t="shared" si="7"/>
        <v>21.037000000000003</v>
      </c>
      <c r="AE22" s="2">
        <f t="shared" si="6"/>
        <v>0.13433870956983632</v>
      </c>
      <c r="AF22" s="2">
        <f>IF(AD22=0,0,10^((AD22-'QS 16S Analysis'!$R$34)/'QS 16S Analysis'!$R$35))</f>
        <v>125.33810497823059</v>
      </c>
    </row>
    <row r="23" spans="2:32">
      <c r="B23" s="4" t="s">
        <v>15</v>
      </c>
      <c r="C23" s="4">
        <f t="array" ref="C23">IF(VLOOKUP($B10&amp;C$5&amp;"VIC",CHOOSE({1,2},TRIM('QS Raw Results'!$B$41:$B$233)&amp;TRIM('QS Raw Results'!$G$41:$G$233),'QS Raw Results'!$I$41:$I$233),2,FALSE)="Undetermined",0,VLOOKUP($B10&amp;C$5&amp;"VIC",CHOOSE({1,2},TRIM('QS Raw Results'!$B$41:$B$233)&amp;TRIM('QS Raw Results'!$G$41:$G$233),'QS Raw Results'!$I$41:$I$233),2,FALSE))</f>
        <v>26.128</v>
      </c>
      <c r="D23" s="4">
        <f t="array" ref="D23">IF(VLOOKUP($B10&amp;D$5&amp;"VIC",CHOOSE({1,2},TRIM('QS Raw Results'!$B$41:$B$233)&amp;TRIM('QS Raw Results'!$G$41:$G$233),'QS Raw Results'!$I$41:$I$233),2,FALSE)="Undetermined",0,VLOOKUP($B10&amp;D$5&amp;"VIC",CHOOSE({1,2},TRIM('QS Raw Results'!$B$41:$B$233)&amp;TRIM('QS Raw Results'!$G$41:$G$233),'QS Raw Results'!$I$41:$I$233),2,FALSE))</f>
        <v>26.134</v>
      </c>
      <c r="E23" s="4">
        <f t="array" ref="E23">IF(VLOOKUP($B10&amp;E$5&amp;"VIC",CHOOSE({1,2},TRIM('QS Raw Results'!$B$41:$B$233)&amp;TRIM('QS Raw Results'!$G$41:$G$233),'QS Raw Results'!$I$41:$I$233),2,FALSE)="Undetermined",0,VLOOKUP($B10&amp;E$5&amp;"VIC",CHOOSE({1,2},TRIM('QS Raw Results'!$B$41:$B$233)&amp;TRIM('QS Raw Results'!$G$41:$G$233),'QS Raw Results'!$I$41:$I$233),2,FALSE))</f>
        <v>25.998000000000001</v>
      </c>
      <c r="F23" s="4">
        <f t="array" ref="F23">IF(VLOOKUP($B10&amp;F$5&amp;"VIC",CHOOSE({1,2},TRIM('QS Raw Results'!$B$41:$B$233)&amp;TRIM('QS Raw Results'!$G$41:$G$233),'QS Raw Results'!$I$41:$I$233),2,FALSE)="Undetermined",0,VLOOKUP($B10&amp;F$5&amp;"VIC",CHOOSE({1,2},TRIM('QS Raw Results'!$B$41:$B$233)&amp;TRIM('QS Raw Results'!$G$41:$G$233),'QS Raw Results'!$I$41:$I$233),2,FALSE))</f>
        <v>21.366</v>
      </c>
      <c r="G23" s="4">
        <f t="array" ref="G23">IF(VLOOKUP($B10&amp;G$5&amp;"VIC",CHOOSE({1,2},TRIM('QS Raw Results'!$B$41:$B$233)&amp;TRIM('QS Raw Results'!$G$41:$G$233),'QS Raw Results'!$I$41:$I$233),2,FALSE)="Undetermined",0,VLOOKUP($B10&amp;G$5&amp;"VIC",CHOOSE({1,2},TRIM('QS Raw Results'!$B$41:$B$233)&amp;TRIM('QS Raw Results'!$G$41:$G$233),'QS Raw Results'!$I$41:$I$233),2,FALSE))</f>
        <v>20.878</v>
      </c>
      <c r="H23" s="4">
        <f t="array" ref="H23">IF(VLOOKUP($B10&amp;H$5&amp;"VIC",CHOOSE({1,2},TRIM('QS Raw Results'!$B$41:$B$233)&amp;TRIM('QS Raw Results'!$G$41:$G$233),'QS Raw Results'!$I$41:$I$233),2,FALSE)="Undetermined",0,VLOOKUP($B10&amp;H$5&amp;"VIC",CHOOSE({1,2},TRIM('QS Raw Results'!$B$41:$B$233)&amp;TRIM('QS Raw Results'!$G$41:$G$233),'QS Raw Results'!$I$41:$I$233),2,FALSE))</f>
        <v>20.867000000000001</v>
      </c>
      <c r="I23" s="4">
        <f t="array" ref="I23">IF(VLOOKUP($B10&amp;I$5&amp;"VIC",CHOOSE({1,2},TRIM('QS Raw Results'!$B$41:$B$233)&amp;TRIM('QS Raw Results'!$G$41:$G$233),'QS Raw Results'!$I$41:$I$233),2,FALSE)="Undetermined",0,VLOOKUP($B10&amp;I$5&amp;"VIC",CHOOSE({1,2},TRIM('QS Raw Results'!$B$41:$B$233)&amp;TRIM('QS Raw Results'!$G$41:$G$233),'QS Raw Results'!$I$41:$I$233),2,FALSE))</f>
        <v>19.405999999999999</v>
      </c>
      <c r="J23" s="4">
        <f t="array" ref="J23">IF(VLOOKUP($B10&amp;J$5&amp;"VIC",CHOOSE({1,2},TRIM('QS Raw Results'!$B$41:$B$233)&amp;TRIM('QS Raw Results'!$G$41:$G$233),'QS Raw Results'!$I$41:$I$233),2,FALSE)="Undetermined",0,VLOOKUP($B10&amp;J$5&amp;"VIC",CHOOSE({1,2},TRIM('QS Raw Results'!$B$41:$B$233)&amp;TRIM('QS Raw Results'!$G$41:$G$233),'QS Raw Results'!$I$41:$I$233),2,FALSE))</f>
        <v>19.577000000000002</v>
      </c>
      <c r="K23" s="4">
        <f t="array" ref="K23">IF(VLOOKUP($B10&amp;K$5&amp;"VIC",CHOOSE({1,2},TRIM('QS Raw Results'!$B$41:$B$233)&amp;TRIM('QS Raw Results'!$G$41:$G$233),'QS Raw Results'!$I$41:$I$233),2,FALSE)="Undetermined",0,VLOOKUP($B10&amp;K$5&amp;"VIC",CHOOSE({1,2},TRIM('QS Raw Results'!$B$41:$B$233)&amp;TRIM('QS Raw Results'!$G$41:$G$233),'QS Raw Results'!$I$41:$I$233),2,FALSE))</f>
        <v>19.564</v>
      </c>
      <c r="L23" s="4">
        <f t="array" ref="L23">IF(VLOOKUP($B10&amp;L$5&amp;"VIC",CHOOSE({1,2},TRIM('QS Raw Results'!$B$41:$B$233)&amp;TRIM('QS Raw Results'!$G$41:$G$233),'QS Raw Results'!$I$41:$I$233),2,FALSE)="Undetermined",0,VLOOKUP($B10&amp;L$5&amp;"VIC",CHOOSE({1,2},TRIM('QS Raw Results'!$B$41:$B$233)&amp;TRIM('QS Raw Results'!$G$41:$G$233),'QS Raw Results'!$I$41:$I$233),2,FALSE))</f>
        <v>19.058</v>
      </c>
      <c r="M23" s="4">
        <f t="array" ref="M23">IF(VLOOKUP($B10&amp;M$5&amp;"VIC",CHOOSE({1,2},TRIM('QS Raw Results'!$B$41:$B$233)&amp;TRIM('QS Raw Results'!$G$41:$G$233),'QS Raw Results'!$I$41:$I$233),2,FALSE)="Undetermined",0,VLOOKUP($B10&amp;M$5&amp;"VIC",CHOOSE({1,2},TRIM('QS Raw Results'!$B$41:$B$233)&amp;TRIM('QS Raw Results'!$G$41:$G$233),'QS Raw Results'!$I$41:$I$233),2,FALSE))</f>
        <v>19.449000000000002</v>
      </c>
      <c r="N23" s="4">
        <f t="array" ref="N23">IF(VLOOKUP($B10&amp;N$5&amp;"VIC",CHOOSE({1,2},TRIM('QS Raw Results'!$B$41:$B$233)&amp;TRIM('QS Raw Results'!$G$41:$G$233),'QS Raw Results'!$I$41:$I$233),2,FALSE)="Undetermined",0,VLOOKUP($B10&amp;N$5&amp;"VIC",CHOOSE({1,2},TRIM('QS Raw Results'!$B$41:$B$233)&amp;TRIM('QS Raw Results'!$G$41:$G$233),'QS Raw Results'!$I$41:$I$233),2,FALSE))</f>
        <v>19.905000000000001</v>
      </c>
      <c r="P23" s="3">
        <v>6</v>
      </c>
      <c r="Q23" s="2">
        <f t="array" ref="Q23:S23">F11:H11</f>
        <v>30.824999999999999</v>
      </c>
      <c r="R23" s="2">
        <v>30.594999999999999</v>
      </c>
      <c r="S23" s="2">
        <v>30.649000000000001</v>
      </c>
      <c r="T23" s="2">
        <f>IFERROR(AVERAGEIF(_xlfn.ANCHORARRAY(Q23),"&lt;&gt;0"),0)</f>
        <v>30.689666666666668</v>
      </c>
      <c r="U23" s="2">
        <f t="shared" si="5"/>
        <v>5.6696724054556391E-2</v>
      </c>
      <c r="V23" s="2">
        <f>IF(T23=0,0,10^((T23-'QS RNase P Analysis'!$R$34)/'QS RNase P Analysis'!$R$35))</f>
        <v>435.42359205532222</v>
      </c>
      <c r="Z23" s="3">
        <v>6</v>
      </c>
      <c r="AA23" s="2">
        <f t="array" ref="AA23:AC23">F24:H24</f>
        <v>25.085000000000001</v>
      </c>
      <c r="AB23" s="2">
        <v>24.972999999999999</v>
      </c>
      <c r="AC23" s="2">
        <v>24.954000000000001</v>
      </c>
      <c r="AD23" s="2">
        <f t="shared" si="7"/>
        <v>25.004000000000001</v>
      </c>
      <c r="AE23" s="2">
        <f t="shared" si="6"/>
        <v>3.3369979855486447E-2</v>
      </c>
      <c r="AF23" s="2">
        <f>IF(AD23=0,0,10^((AD23-'QS 16S Analysis'!$R$34)/'QS 16S Analysis'!$R$35))</f>
        <v>9.9941346235509005</v>
      </c>
    </row>
    <row r="24" spans="2:32">
      <c r="B24" s="4" t="s">
        <v>16</v>
      </c>
      <c r="C24" s="4">
        <f t="array" ref="C24">IF(VLOOKUP($B11&amp;C$5&amp;"VIC",CHOOSE({1,2},TRIM('QS Raw Results'!$B$41:$B$233)&amp;TRIM('QS Raw Results'!$G$41:$G$233),'QS Raw Results'!$I$41:$I$233),2,FALSE)="Undetermined",0,VLOOKUP($B11&amp;C$5&amp;"VIC",CHOOSE({1,2},TRIM('QS Raw Results'!$B$41:$B$233)&amp;TRIM('QS Raw Results'!$G$41:$G$233),'QS Raw Results'!$I$41:$I$233),2,FALSE))</f>
        <v>29.436</v>
      </c>
      <c r="D24" s="4">
        <f t="array" ref="D24">IF(VLOOKUP($B11&amp;D$5&amp;"VIC",CHOOSE({1,2},TRIM('QS Raw Results'!$B$41:$B$233)&amp;TRIM('QS Raw Results'!$G$41:$G$233),'QS Raw Results'!$I$41:$I$233),2,FALSE)="Undetermined",0,VLOOKUP($B11&amp;D$5&amp;"VIC",CHOOSE({1,2},TRIM('QS Raw Results'!$B$41:$B$233)&amp;TRIM('QS Raw Results'!$G$41:$G$233),'QS Raw Results'!$I$41:$I$233),2,FALSE))</f>
        <v>29.219000000000001</v>
      </c>
      <c r="E24" s="4">
        <f t="array" ref="E24">IF(VLOOKUP($B11&amp;E$5&amp;"VIC",CHOOSE({1,2},TRIM('QS Raw Results'!$B$41:$B$233)&amp;TRIM('QS Raw Results'!$G$41:$G$233),'QS Raw Results'!$I$41:$I$233),2,FALSE)="Undetermined",0,VLOOKUP($B11&amp;E$5&amp;"VIC",CHOOSE({1,2},TRIM('QS Raw Results'!$B$41:$B$233)&amp;TRIM('QS Raw Results'!$G$41:$G$233),'QS Raw Results'!$I$41:$I$233),2,FALSE))</f>
        <v>29.486000000000001</v>
      </c>
      <c r="F24" s="4">
        <f t="array" ref="F24">IF(VLOOKUP($B11&amp;F$5&amp;"VIC",CHOOSE({1,2},TRIM('QS Raw Results'!$B$41:$B$233)&amp;TRIM('QS Raw Results'!$G$41:$G$233),'QS Raw Results'!$I$41:$I$233),2,FALSE)="Undetermined",0,VLOOKUP($B11&amp;F$5&amp;"VIC",CHOOSE({1,2},TRIM('QS Raw Results'!$B$41:$B$233)&amp;TRIM('QS Raw Results'!$G$41:$G$233),'QS Raw Results'!$I$41:$I$233),2,FALSE))</f>
        <v>25.085000000000001</v>
      </c>
      <c r="G24" s="4">
        <f t="array" ref="G24">IF(VLOOKUP($B11&amp;G$5&amp;"VIC",CHOOSE({1,2},TRIM('QS Raw Results'!$B$41:$B$233)&amp;TRIM('QS Raw Results'!$G$41:$G$233),'QS Raw Results'!$I$41:$I$233),2,FALSE)="Undetermined",0,VLOOKUP($B11&amp;G$5&amp;"VIC",CHOOSE({1,2},TRIM('QS Raw Results'!$B$41:$B$233)&amp;TRIM('QS Raw Results'!$G$41:$G$233),'QS Raw Results'!$I$41:$I$233),2,FALSE))</f>
        <v>24.972999999999999</v>
      </c>
      <c r="H24" s="4">
        <f t="array" ref="H24">IF(VLOOKUP($B11&amp;H$5&amp;"VIC",CHOOSE({1,2},TRIM('QS Raw Results'!$B$41:$B$233)&amp;TRIM('QS Raw Results'!$G$41:$G$233),'QS Raw Results'!$I$41:$I$233),2,FALSE)="Undetermined",0,VLOOKUP($B11&amp;H$5&amp;"VIC",CHOOSE({1,2},TRIM('QS Raw Results'!$B$41:$B$233)&amp;TRIM('QS Raw Results'!$G$41:$G$233),'QS Raw Results'!$I$41:$I$233),2,FALSE))</f>
        <v>24.954000000000001</v>
      </c>
      <c r="I24" s="4">
        <f t="array" ref="I24">IF(VLOOKUP($B11&amp;I$5&amp;"VIC",CHOOSE({1,2},TRIM('QS Raw Results'!$B$41:$B$233)&amp;TRIM('QS Raw Results'!$G$41:$G$233),'QS Raw Results'!$I$41:$I$233),2,FALSE)="Undetermined",0,VLOOKUP($B11&amp;I$5&amp;"VIC",CHOOSE({1,2},TRIM('QS Raw Results'!$B$41:$B$233)&amp;TRIM('QS Raw Results'!$G$41:$G$233),'QS Raw Results'!$I$41:$I$233),2,FALSE))</f>
        <v>20.332999999999998</v>
      </c>
      <c r="J24" s="4">
        <f t="array" ref="J24">IF(VLOOKUP($B11&amp;J$5&amp;"VIC",CHOOSE({1,2},TRIM('QS Raw Results'!$B$41:$B$233)&amp;TRIM('QS Raw Results'!$G$41:$G$233),'QS Raw Results'!$I$41:$I$233),2,FALSE)="Undetermined",0,VLOOKUP($B11&amp;J$5&amp;"VIC",CHOOSE({1,2},TRIM('QS Raw Results'!$B$41:$B$233)&amp;TRIM('QS Raw Results'!$G$41:$G$233),'QS Raw Results'!$I$41:$I$233),2,FALSE))</f>
        <v>20.350000000000001</v>
      </c>
      <c r="K24" s="4">
        <f t="array" ref="K24">IF(VLOOKUP($B11&amp;K$5&amp;"VIC",CHOOSE({1,2},TRIM('QS Raw Results'!$B$41:$B$233)&amp;TRIM('QS Raw Results'!$G$41:$G$233),'QS Raw Results'!$I$41:$I$233),2,FALSE)="Undetermined",0,VLOOKUP($B11&amp;K$5&amp;"VIC",CHOOSE({1,2},TRIM('QS Raw Results'!$B$41:$B$233)&amp;TRIM('QS Raw Results'!$G$41:$G$233),'QS Raw Results'!$I$41:$I$233),2,FALSE))</f>
        <v>20.350999999999999</v>
      </c>
      <c r="L24" s="4">
        <f t="array" ref="L24">IF(VLOOKUP($B11&amp;L$5&amp;"VIC",CHOOSE({1,2},TRIM('QS Raw Results'!$B$41:$B$233)&amp;TRIM('QS Raw Results'!$G$41:$G$233),'QS Raw Results'!$I$41:$I$233),2,FALSE)="Undetermined",0,VLOOKUP($B11&amp;L$5&amp;"VIC",CHOOSE({1,2},TRIM('QS Raw Results'!$B$41:$B$233)&amp;TRIM('QS Raw Results'!$G$41:$G$233),'QS Raw Results'!$I$41:$I$233),2,FALSE))</f>
        <v>20.561</v>
      </c>
      <c r="M24" s="4">
        <f t="array" ref="M24">IF(VLOOKUP($B11&amp;M$5&amp;"VIC",CHOOSE({1,2},TRIM('QS Raw Results'!$B$41:$B$233)&amp;TRIM('QS Raw Results'!$G$41:$G$233),'QS Raw Results'!$I$41:$I$233),2,FALSE)="Undetermined",0,VLOOKUP($B11&amp;M$5&amp;"VIC",CHOOSE({1,2},TRIM('QS Raw Results'!$B$41:$B$233)&amp;TRIM('QS Raw Results'!$G$41:$G$233),'QS Raw Results'!$I$41:$I$233),2,FALSE))</f>
        <v>20.54</v>
      </c>
      <c r="N24" s="4">
        <f t="array" ref="N24">IF(VLOOKUP($B11&amp;N$5&amp;"VIC",CHOOSE({1,2},TRIM('QS Raw Results'!$B$41:$B$233)&amp;TRIM('QS Raw Results'!$G$41:$G$233),'QS Raw Results'!$I$41:$I$233),2,FALSE)="Undetermined",0,VLOOKUP($B11&amp;N$5&amp;"VIC",CHOOSE({1,2},TRIM('QS Raw Results'!$B$41:$B$233)&amp;TRIM('QS Raw Results'!$G$41:$G$233),'QS Raw Results'!$I$41:$I$233),2,FALSE))</f>
        <v>20.925999999999998</v>
      </c>
      <c r="P24" s="3">
        <v>7</v>
      </c>
      <c r="Q24" s="2">
        <f t="array" ref="Q24:S24">F12:H12</f>
        <v>34.515999999999998</v>
      </c>
      <c r="R24" s="2">
        <v>32.584000000000003</v>
      </c>
      <c r="S24" s="2">
        <v>32.28</v>
      </c>
      <c r="T24" s="2">
        <f t="shared" si="4"/>
        <v>33.126666666666665</v>
      </c>
      <c r="U24" s="2">
        <f t="shared" si="5"/>
        <v>0.57170103557197871</v>
      </c>
      <c r="V24" s="2">
        <f>IF(T24=0,0,10^((T24-'QS RNase P Analysis'!$R$34)/'QS RNase P Analysis'!$R$35))</f>
        <v>87.737962961544326</v>
      </c>
      <c r="Z24" s="3">
        <v>7</v>
      </c>
      <c r="AA24" s="2">
        <f t="array" ref="AA24:AC24">F25:H25</f>
        <v>18.567</v>
      </c>
      <c r="AB24" s="2">
        <v>18.013999999999999</v>
      </c>
      <c r="AC24" s="2">
        <v>18.021999999999998</v>
      </c>
      <c r="AD24" s="2">
        <f t="shared" si="7"/>
        <v>18.201000000000001</v>
      </c>
      <c r="AE24" s="2">
        <f t="shared" si="6"/>
        <v>0.14943077178264075</v>
      </c>
      <c r="AF24" s="2">
        <f>IF(AD24=0,0,10^((AD24-'QS 16S Analysis'!$R$34)/'QS 16S Analysis'!$R$35))</f>
        <v>764.3330017767081</v>
      </c>
    </row>
    <row r="25" spans="2:32">
      <c r="B25" s="4" t="s">
        <v>17</v>
      </c>
      <c r="C25" s="4" t="e">
        <f t="array" ref="C25">IF(VLOOKUP($B12&amp;C$5&amp;"VIC",CHOOSE({1,2},TRIM('QS Raw Results'!$B$41:$B$233)&amp;TRIM('QS Raw Results'!$G$41:$G$233),'QS Raw Results'!$I$41:$I$233),2,FALSE)="Undetermined",0,VLOOKUP($B12&amp;C$5&amp;"VIC",CHOOSE({1,2},TRIM('QS Raw Results'!$B$41:$B$233)&amp;TRIM('QS Raw Results'!$G$41:$G$233),'QS Raw Results'!$I$41:$I$233),2,FALSE))</f>
        <v>#N/A</v>
      </c>
      <c r="D25" s="4" t="e">
        <f t="array" ref="D25">IF(VLOOKUP($B12&amp;D$5&amp;"VIC",CHOOSE({1,2},TRIM('QS Raw Results'!$B$41:$B$233)&amp;TRIM('QS Raw Results'!$G$41:$G$233),'QS Raw Results'!$I$41:$I$233),2,FALSE)="Undetermined",0,VLOOKUP($B12&amp;D$5&amp;"VIC",CHOOSE({1,2},TRIM('QS Raw Results'!$B$41:$B$233)&amp;TRIM('QS Raw Results'!$G$41:$G$233),'QS Raw Results'!$I$41:$I$233),2,FALSE))</f>
        <v>#N/A</v>
      </c>
      <c r="E25" s="4" t="e">
        <f t="array" ref="E25">IF(VLOOKUP($B12&amp;E$5&amp;"VIC",CHOOSE({1,2},TRIM('QS Raw Results'!$B$41:$B$233)&amp;TRIM('QS Raw Results'!$G$41:$G$233),'QS Raw Results'!$I$41:$I$233),2,FALSE)="Undetermined",0,VLOOKUP($B12&amp;E$5&amp;"VIC",CHOOSE({1,2},TRIM('QS Raw Results'!$B$41:$B$233)&amp;TRIM('QS Raw Results'!$G$41:$G$233),'QS Raw Results'!$I$41:$I$233),2,FALSE))</f>
        <v>#N/A</v>
      </c>
      <c r="F25" s="4">
        <f t="array" ref="F25">IF(VLOOKUP($B12&amp;F$5&amp;"VIC",CHOOSE({1,2},TRIM('QS Raw Results'!$B$41:$B$233)&amp;TRIM('QS Raw Results'!$G$41:$G$233),'QS Raw Results'!$I$41:$I$233),2,FALSE)="Undetermined",0,VLOOKUP($B12&amp;F$5&amp;"VIC",CHOOSE({1,2},TRIM('QS Raw Results'!$B$41:$B$233)&amp;TRIM('QS Raw Results'!$G$41:$G$233),'QS Raw Results'!$I$41:$I$233),2,FALSE))</f>
        <v>18.567</v>
      </c>
      <c r="G25" s="4">
        <f t="array" ref="G25">IF(VLOOKUP($B12&amp;G$5&amp;"VIC",CHOOSE({1,2},TRIM('QS Raw Results'!$B$41:$B$233)&amp;TRIM('QS Raw Results'!$G$41:$G$233),'QS Raw Results'!$I$41:$I$233),2,FALSE)="Undetermined",0,VLOOKUP($B12&amp;G$5&amp;"VIC",CHOOSE({1,2},TRIM('QS Raw Results'!$B$41:$B$233)&amp;TRIM('QS Raw Results'!$G$41:$G$233),'QS Raw Results'!$I$41:$I$233),2,FALSE))</f>
        <v>18.013999999999999</v>
      </c>
      <c r="H25" s="4">
        <f t="array" ref="H25">IF(VLOOKUP($B12&amp;H$5&amp;"VIC",CHOOSE({1,2},TRIM('QS Raw Results'!$B$41:$B$233)&amp;TRIM('QS Raw Results'!$G$41:$G$233),'QS Raw Results'!$I$41:$I$233),2,FALSE)="Undetermined",0,VLOOKUP($B12&amp;H$5&amp;"VIC",CHOOSE({1,2},TRIM('QS Raw Results'!$B$41:$B$233)&amp;TRIM('QS Raw Results'!$G$41:$G$233),'QS Raw Results'!$I$41:$I$233),2,FALSE))</f>
        <v>18.021999999999998</v>
      </c>
      <c r="I25" s="4">
        <f t="array" ref="I25">IF(VLOOKUP($B12&amp;I$5&amp;"VIC",CHOOSE({1,2},TRIM('QS Raw Results'!$B$41:$B$233)&amp;TRIM('QS Raw Results'!$G$41:$G$233),'QS Raw Results'!$I$41:$I$233),2,FALSE)="Undetermined",0,VLOOKUP($B12&amp;I$5&amp;"VIC",CHOOSE({1,2},TRIM('QS Raw Results'!$B$41:$B$233)&amp;TRIM('QS Raw Results'!$G$41:$G$233),'QS Raw Results'!$I$41:$I$233),2,FALSE))</f>
        <v>22.09</v>
      </c>
      <c r="J25" s="4">
        <f t="array" ref="J25">IF(VLOOKUP($B12&amp;J$5&amp;"VIC",CHOOSE({1,2},TRIM('QS Raw Results'!$B$41:$B$233)&amp;TRIM('QS Raw Results'!$G$41:$G$233),'QS Raw Results'!$I$41:$I$233),2,FALSE)="Undetermined",0,VLOOKUP($B12&amp;J$5&amp;"VIC",CHOOSE({1,2},TRIM('QS Raw Results'!$B$41:$B$233)&amp;TRIM('QS Raw Results'!$G$41:$G$233),'QS Raw Results'!$I$41:$I$233),2,FALSE))</f>
        <v>22.135000000000002</v>
      </c>
      <c r="K25" s="4">
        <f t="array" ref="K25">IF(VLOOKUP($B12&amp;K$5&amp;"VIC",CHOOSE({1,2},TRIM('QS Raw Results'!$B$41:$B$233)&amp;TRIM('QS Raw Results'!$G$41:$G$233),'QS Raw Results'!$I$41:$I$233),2,FALSE)="Undetermined",0,VLOOKUP($B12&amp;K$5&amp;"VIC",CHOOSE({1,2},TRIM('QS Raw Results'!$B$41:$B$233)&amp;TRIM('QS Raw Results'!$G$41:$G$233),'QS Raw Results'!$I$41:$I$233),2,FALSE))</f>
        <v>22.141999999999999</v>
      </c>
      <c r="L25" s="4">
        <f t="array" ref="L25">IF(VLOOKUP($B12&amp;L$5&amp;"VIC",CHOOSE({1,2},TRIM('QS Raw Results'!$B$41:$B$233)&amp;TRIM('QS Raw Results'!$G$41:$G$233),'QS Raw Results'!$I$41:$I$233),2,FALSE)="Undetermined",0,VLOOKUP($B12&amp;L$5&amp;"VIC",CHOOSE({1,2},TRIM('QS Raw Results'!$B$41:$B$233)&amp;TRIM('QS Raw Results'!$G$41:$G$233),'QS Raw Results'!$I$41:$I$233),2,FALSE))</f>
        <v>29.565999999999999</v>
      </c>
      <c r="M25" s="4">
        <f t="array" ref="M25">IF(VLOOKUP($B12&amp;M$5&amp;"VIC",CHOOSE({1,2},TRIM('QS Raw Results'!$B$41:$B$233)&amp;TRIM('QS Raw Results'!$G$41:$G$233),'QS Raw Results'!$I$41:$I$233),2,FALSE)="Undetermined",0,VLOOKUP($B12&amp;M$5&amp;"VIC",CHOOSE({1,2},TRIM('QS Raw Results'!$B$41:$B$233)&amp;TRIM('QS Raw Results'!$G$41:$G$233),'QS Raw Results'!$I$41:$I$233),2,FALSE))</f>
        <v>29.702999999999999</v>
      </c>
      <c r="N25" s="4">
        <f t="array" ref="N25">IF(VLOOKUP($B12&amp;N$5&amp;"VIC",CHOOSE({1,2},TRIM('QS Raw Results'!$B$41:$B$233)&amp;TRIM('QS Raw Results'!$G$41:$G$233),'QS Raw Results'!$I$41:$I$233),2,FALSE)="Undetermined",0,VLOOKUP($B12&amp;N$5&amp;"VIC",CHOOSE({1,2},TRIM('QS Raw Results'!$B$41:$B$233)&amp;TRIM('QS Raw Results'!$G$41:$G$233),'QS Raw Results'!$I$41:$I$233),2,FALSE))</f>
        <v>30.140999999999998</v>
      </c>
      <c r="P25" s="3">
        <v>8</v>
      </c>
      <c r="Q25" s="2">
        <f t="array" ref="Q25:S25">F13:H13</f>
        <v>30.172000000000001</v>
      </c>
      <c r="R25" s="2">
        <v>30.23</v>
      </c>
      <c r="S25" s="2">
        <v>30.062000000000001</v>
      </c>
      <c r="T25" s="2">
        <f t="shared" si="4"/>
        <v>30.154666666666667</v>
      </c>
      <c r="U25" s="2">
        <f t="shared" si="5"/>
        <v>4.0225291472829133E-2</v>
      </c>
      <c r="V25" s="2">
        <f>IF(T25=0,0,10^((T25-'QS RNase P Analysis'!$R$34)/'QS RNase P Analysis'!$R$35))</f>
        <v>618.93618619574579</v>
      </c>
      <c r="Z25" s="3">
        <v>8</v>
      </c>
      <c r="AA25" s="2">
        <f t="array" ref="AA25:AC25">F26:H26</f>
        <v>17.815999999999999</v>
      </c>
      <c r="AB25" s="2">
        <v>17.748000000000001</v>
      </c>
      <c r="AC25" s="2">
        <v>17.670000000000002</v>
      </c>
      <c r="AD25" s="2">
        <f t="shared" si="7"/>
        <v>17.744666666666667</v>
      </c>
      <c r="AE25" s="2">
        <f t="shared" si="6"/>
        <v>3.4439426157734251E-2</v>
      </c>
      <c r="AF25" s="2">
        <f>IF(AD25=0,0,10^((AD25-'QS 16S Analysis'!$R$34)/'QS 16S Analysis'!$R$35))</f>
        <v>1022.4145114362747</v>
      </c>
    </row>
    <row r="26" spans="2:32">
      <c r="B26" s="4" t="s">
        <v>18</v>
      </c>
      <c r="C26" s="4">
        <f t="array" ref="C26">IF(VLOOKUP($B13&amp;C$5&amp;"VIC",CHOOSE({1,2},TRIM('QS Raw Results'!$B$41:$B$233)&amp;TRIM('QS Raw Results'!$G$41:$G$233),'QS Raw Results'!$I$41:$I$233),2,FALSE)="Undetermined",0,VLOOKUP($B13&amp;C$5&amp;"VIC",CHOOSE({1,2},TRIM('QS Raw Results'!$B$41:$B$233)&amp;TRIM('QS Raw Results'!$G$41:$G$233),'QS Raw Results'!$I$41:$I$233),2,FALSE))</f>
        <v>35.604999999999997</v>
      </c>
      <c r="D26" s="4">
        <f t="array" ref="D26">IF(VLOOKUP($B13&amp;D$5&amp;"VIC",CHOOSE({1,2},TRIM('QS Raw Results'!$B$41:$B$233)&amp;TRIM('QS Raw Results'!$G$41:$G$233),'QS Raw Results'!$I$41:$I$233),2,FALSE)="Undetermined",0,VLOOKUP($B13&amp;D$5&amp;"VIC",CHOOSE({1,2},TRIM('QS Raw Results'!$B$41:$B$233)&amp;TRIM('QS Raw Results'!$G$41:$G$233),'QS Raw Results'!$I$41:$I$233),2,FALSE))</f>
        <v>35.014000000000003</v>
      </c>
      <c r="E26" s="4">
        <f t="array" ref="E26">IF(VLOOKUP($B13&amp;E$5&amp;"VIC",CHOOSE({1,2},TRIM('QS Raw Results'!$B$41:$B$233)&amp;TRIM('QS Raw Results'!$G$41:$G$233),'QS Raw Results'!$I$41:$I$233),2,FALSE)="Undetermined",0,VLOOKUP($B13&amp;E$5&amp;"VIC",CHOOSE({1,2},TRIM('QS Raw Results'!$B$41:$B$233)&amp;TRIM('QS Raw Results'!$G$41:$G$233),'QS Raw Results'!$I$41:$I$233),2,FALSE))</f>
        <v>35.253999999999998</v>
      </c>
      <c r="F26" s="4">
        <f t="array" ref="F26">IF(VLOOKUP($B13&amp;F$5&amp;"VIC",CHOOSE({1,2},TRIM('QS Raw Results'!$B$41:$B$233)&amp;TRIM('QS Raw Results'!$G$41:$G$233),'QS Raw Results'!$I$41:$I$233),2,FALSE)="Undetermined",0,VLOOKUP($B13&amp;F$5&amp;"VIC",CHOOSE({1,2},TRIM('QS Raw Results'!$B$41:$B$233)&amp;TRIM('QS Raw Results'!$G$41:$G$233),'QS Raw Results'!$I$41:$I$233),2,FALSE))</f>
        <v>17.815999999999999</v>
      </c>
      <c r="G26" s="4">
        <f t="array" ref="G26">IF(VLOOKUP($B13&amp;G$5&amp;"VIC",CHOOSE({1,2},TRIM('QS Raw Results'!$B$41:$B$233)&amp;TRIM('QS Raw Results'!$G$41:$G$233),'QS Raw Results'!$I$41:$I$233),2,FALSE)="Undetermined",0,VLOOKUP($B13&amp;G$5&amp;"VIC",CHOOSE({1,2},TRIM('QS Raw Results'!$B$41:$B$233)&amp;TRIM('QS Raw Results'!$G$41:$G$233),'QS Raw Results'!$I$41:$I$233),2,FALSE))</f>
        <v>17.748000000000001</v>
      </c>
      <c r="H26" s="4">
        <f t="array" ref="H26">IF(VLOOKUP($B13&amp;H$5&amp;"VIC",CHOOSE({1,2},TRIM('QS Raw Results'!$B$41:$B$233)&amp;TRIM('QS Raw Results'!$G$41:$G$233),'QS Raw Results'!$I$41:$I$233),2,FALSE)="Undetermined",0,VLOOKUP($B13&amp;H$5&amp;"VIC",CHOOSE({1,2},TRIM('QS Raw Results'!$B$41:$B$233)&amp;TRIM('QS Raw Results'!$G$41:$G$233),'QS Raw Results'!$I$41:$I$233),2,FALSE))</f>
        <v>17.670000000000002</v>
      </c>
      <c r="I26" s="4">
        <f t="array" ref="I26">IF(VLOOKUP($B13&amp;I$5&amp;"VIC",CHOOSE({1,2},TRIM('QS Raw Results'!$B$41:$B$233)&amp;TRIM('QS Raw Results'!$G$41:$G$233),'QS Raw Results'!$I$41:$I$233),2,FALSE)="Undetermined",0,VLOOKUP($B13&amp;I$5&amp;"VIC",CHOOSE({1,2},TRIM('QS Raw Results'!$B$41:$B$233)&amp;TRIM('QS Raw Results'!$G$41:$G$233),'QS Raw Results'!$I$41:$I$233),2,FALSE))</f>
        <v>16.093</v>
      </c>
      <c r="J26" s="4">
        <f t="array" ref="J26">IF(VLOOKUP($B13&amp;J$5&amp;"VIC",CHOOSE({1,2},TRIM('QS Raw Results'!$B$41:$B$233)&amp;TRIM('QS Raw Results'!$G$41:$G$233),'QS Raw Results'!$I$41:$I$233),2,FALSE)="Undetermined",0,VLOOKUP($B13&amp;J$5&amp;"VIC",CHOOSE({1,2},TRIM('QS Raw Results'!$B$41:$B$233)&amp;TRIM('QS Raw Results'!$G$41:$G$233),'QS Raw Results'!$I$41:$I$233),2,FALSE))</f>
        <v>16.22</v>
      </c>
      <c r="K26" s="4">
        <f t="array" ref="K26">IF(VLOOKUP($B13&amp;K$5&amp;"VIC",CHOOSE({1,2},TRIM('QS Raw Results'!$B$41:$B$233)&amp;TRIM('QS Raw Results'!$G$41:$G$233),'QS Raw Results'!$I$41:$I$233),2,FALSE)="Undetermined",0,VLOOKUP($B13&amp;K$5&amp;"VIC",CHOOSE({1,2},TRIM('QS Raw Results'!$B$41:$B$233)&amp;TRIM('QS Raw Results'!$G$41:$G$233),'QS Raw Results'!$I$41:$I$233),2,FALSE))</f>
        <v>16.34</v>
      </c>
      <c r="L26" s="4">
        <f t="array" ref="L26">IF(VLOOKUP($B13&amp;L$5&amp;"VIC",CHOOSE({1,2},TRIM('QS Raw Results'!$B$41:$B$233)&amp;TRIM('QS Raw Results'!$G$41:$G$233),'QS Raw Results'!$I$41:$I$233),2,FALSE)="Undetermined",0,VLOOKUP($B13&amp;L$5&amp;"VIC",CHOOSE({1,2},TRIM('QS Raw Results'!$B$41:$B$233)&amp;TRIM('QS Raw Results'!$G$41:$G$233),'QS Raw Results'!$I$41:$I$233),2,FALSE))</f>
        <v>29.428999999999998</v>
      </c>
      <c r="M26" s="4">
        <f t="array" ref="M26">IF(VLOOKUP($B13&amp;M$5&amp;"VIC",CHOOSE({1,2},TRIM('QS Raw Results'!$B$41:$B$233)&amp;TRIM('QS Raw Results'!$G$41:$G$233),'QS Raw Results'!$I$41:$I$233),2,FALSE)="Undetermined",0,VLOOKUP($B13&amp;M$5&amp;"VIC",CHOOSE({1,2},TRIM('QS Raw Results'!$B$41:$B$233)&amp;TRIM('QS Raw Results'!$G$41:$G$233),'QS Raw Results'!$I$41:$I$233),2,FALSE))</f>
        <v>30.292000000000002</v>
      </c>
      <c r="N26" s="4">
        <f t="array" ref="N26">IF(VLOOKUP($B13&amp;N$5&amp;"VIC",CHOOSE({1,2},TRIM('QS Raw Results'!$B$41:$B$233)&amp;TRIM('QS Raw Results'!$G$41:$G$233),'QS Raw Results'!$I$41:$I$233),2,FALSE)="Undetermined",0,VLOOKUP($B13&amp;N$5&amp;"VIC",CHOOSE({1,2},TRIM('QS Raw Results'!$B$41:$B$233)&amp;TRIM('QS Raw Results'!$G$41:$G$233),'QS Raw Results'!$I$41:$I$233),2,FALSE))</f>
        <v>29.492000000000001</v>
      </c>
      <c r="P26" s="3">
        <v>9</v>
      </c>
      <c r="Q26" s="2">
        <f t="array" ref="Q26:S26">I6:K6</f>
        <v>26.863</v>
      </c>
      <c r="R26" s="2">
        <v>26.876000000000001</v>
      </c>
      <c r="S26" s="2">
        <v>26.937999999999999</v>
      </c>
      <c r="T26" s="2">
        <f t="shared" si="4"/>
        <v>26.892333333333337</v>
      </c>
      <c r="U26" s="2">
        <f t="shared" si="5"/>
        <v>1.8893463498335865E-2</v>
      </c>
      <c r="V26" s="2">
        <f>IF(T26=0,0,10^((T26-'QS RNase P Analysis'!$R$34)/'QS RNase P Analysis'!$R$35))</f>
        <v>5284.3273306470583</v>
      </c>
      <c r="Z26" s="3">
        <v>9</v>
      </c>
      <c r="AA26" s="2">
        <f t="array" ref="AA26:AC26">I19:K19</f>
        <v>26.018999999999998</v>
      </c>
      <c r="AB26" s="2">
        <v>26.074000000000002</v>
      </c>
      <c r="AC26" s="2">
        <v>26.120999999999999</v>
      </c>
      <c r="AD26" s="2">
        <f t="shared" si="7"/>
        <v>26.071333333333332</v>
      </c>
      <c r="AE26" s="2">
        <f t="shared" si="6"/>
        <v>2.406626654022577E-2</v>
      </c>
      <c r="AF26" s="2">
        <f>IF(AD26=0,0,10^((AD26-'QS 16S Analysis'!$R$34)/'QS 16S Analysis'!$R$35))</f>
        <v>5.0609734337451275</v>
      </c>
    </row>
    <row r="27" spans="2:32">
      <c r="P27" s="3">
        <v>10</v>
      </c>
      <c r="Q27" s="2">
        <f t="array" ref="Q27:S27">I7:K7</f>
        <v>29.748999999999999</v>
      </c>
      <c r="R27" s="2">
        <v>29.599</v>
      </c>
      <c r="S27" s="2">
        <v>29.632999999999999</v>
      </c>
      <c r="T27" s="2">
        <f t="shared" si="4"/>
        <v>29.66033333333333</v>
      </c>
      <c r="U27" s="2">
        <f t="shared" si="5"/>
        <v>3.7074499572057572E-2</v>
      </c>
      <c r="V27" s="2">
        <f>IF(T27=0,0,10^((T27-'QS RNase P Analysis'!$R$34)/'QS RNase P Analysis'!$R$35))</f>
        <v>856.5843033435176</v>
      </c>
      <c r="Z27" s="3">
        <v>10</v>
      </c>
      <c r="AA27" s="2">
        <f t="array" ref="AA27:AC27">I20:K20</f>
        <v>17.718</v>
      </c>
      <c r="AB27" s="2">
        <v>17.760000000000002</v>
      </c>
      <c r="AC27" s="2">
        <v>17.834</v>
      </c>
      <c r="AD27" s="2">
        <f t="shared" si="7"/>
        <v>17.770666666666667</v>
      </c>
      <c r="AE27" s="2">
        <f t="shared" si="6"/>
        <v>2.7686070839295886E-2</v>
      </c>
      <c r="AF27" s="2">
        <f>IF(AD27=0,0,10^((AD27-'QS 16S Analysis'!$R$34)/'QS 16S Analysis'!$R$35))</f>
        <v>1005.6073062644766</v>
      </c>
    </row>
    <row r="28" spans="2:32">
      <c r="P28" s="3">
        <v>11</v>
      </c>
      <c r="Q28" s="2">
        <f t="array" ref="Q28:S28">I8:K8</f>
        <v>29.728000000000002</v>
      </c>
      <c r="R28" s="2">
        <v>29.635999999999999</v>
      </c>
      <c r="S28" s="2">
        <v>29.709</v>
      </c>
      <c r="T28" s="2">
        <f t="shared" si="4"/>
        <v>29.691000000000003</v>
      </c>
      <c r="U28" s="2">
        <f t="shared" si="5"/>
        <v>2.2895899681432977E-2</v>
      </c>
      <c r="V28" s="2">
        <f>IF(T28=0,0,10^((T28-'QS RNase P Analysis'!$R$34)/'QS RNase P Analysis'!$R$35))</f>
        <v>839.48950360573679</v>
      </c>
      <c r="Z28" s="3">
        <v>11</v>
      </c>
      <c r="AA28" s="2">
        <f t="array" ref="AA28:AC28">I21:K21</f>
        <v>18.974</v>
      </c>
      <c r="AB28" s="2">
        <v>19.029</v>
      </c>
      <c r="AC28" s="2">
        <v>19.11</v>
      </c>
      <c r="AD28" s="2">
        <f t="shared" si="7"/>
        <v>19.037666666666667</v>
      </c>
      <c r="AE28" s="2">
        <f t="shared" si="6"/>
        <v>3.2250179442509498E-2</v>
      </c>
      <c r="AF28" s="2">
        <f>IF(AD28=0,0,10^((AD28-'QS 16S Analysis'!$R$34)/'QS 16S Analysis'!$R$35))</f>
        <v>448.36927278948002</v>
      </c>
    </row>
    <row r="29" spans="2:32">
      <c r="P29" s="3">
        <v>12</v>
      </c>
      <c r="Q29" s="2">
        <f t="array" ref="Q29:S29">I9:K9</f>
        <v>28.913</v>
      </c>
      <c r="R29" s="2">
        <v>28.911999999999999</v>
      </c>
      <c r="S29" s="2">
        <v>29.027000000000001</v>
      </c>
      <c r="T29" s="2">
        <f t="shared" si="4"/>
        <v>28.950666666666667</v>
      </c>
      <c r="U29" s="2">
        <f t="shared" si="5"/>
        <v>3.1163844197807315E-2</v>
      </c>
      <c r="V29" s="2">
        <f>IF(T29=0,0,10^((T29-'QS RNase P Analysis'!$R$34)/'QS RNase P Analysis'!$R$35))</f>
        <v>1365.7416743390506</v>
      </c>
      <c r="Z29" s="3">
        <v>12</v>
      </c>
      <c r="AA29" s="2">
        <f t="array" ref="AA29:AC29">I22:K22</f>
        <v>15.842000000000001</v>
      </c>
      <c r="AB29" s="2">
        <v>15.973000000000001</v>
      </c>
      <c r="AC29" s="2">
        <v>16.033000000000001</v>
      </c>
      <c r="AD29" s="2">
        <f t="shared" si="7"/>
        <v>15.949333333333334</v>
      </c>
      <c r="AE29" s="2">
        <f t="shared" si="6"/>
        <v>4.6044262118901294E-2</v>
      </c>
      <c r="AF29" s="2">
        <f>IF(AD29=0,0,10^((AD29-'QS 16S Analysis'!$R$34)/'QS 16S Analysis'!$R$35))</f>
        <v>3211.4304336173327</v>
      </c>
    </row>
    <row r="30" spans="2:32">
      <c r="P30" s="3">
        <v>13</v>
      </c>
      <c r="Q30" s="2">
        <f t="array" ref="Q30:S30">I10:K10</f>
        <v>31.739000000000001</v>
      </c>
      <c r="R30" s="2">
        <v>31.712</v>
      </c>
      <c r="S30" s="2">
        <v>32.003999999999998</v>
      </c>
      <c r="T30" s="2">
        <f t="shared" si="4"/>
        <v>31.818333333333332</v>
      </c>
      <c r="U30" s="2">
        <f t="shared" si="5"/>
        <v>7.6064787200463224E-2</v>
      </c>
      <c r="V30" s="2">
        <f>IF(T30=0,0,10^((T30-'QS RNase P Analysis'!$R$34)/'QS RNase P Analysis'!$R$35))</f>
        <v>207.34603136755322</v>
      </c>
      <c r="Z30" s="3">
        <v>13</v>
      </c>
      <c r="AA30" s="2">
        <f t="array" ref="AA30:AC30">I23:K23</f>
        <v>19.405999999999999</v>
      </c>
      <c r="AB30" s="2">
        <v>19.577000000000002</v>
      </c>
      <c r="AC30" s="2">
        <v>19.564</v>
      </c>
      <c r="AD30" s="2">
        <f t="shared" si="7"/>
        <v>19.515666666666668</v>
      </c>
      <c r="AE30" s="2">
        <f t="shared" si="6"/>
        <v>4.4875960734583782E-2</v>
      </c>
      <c r="AF30" s="2">
        <f>IF(AD30=0,0,10^((AD30-'QS 16S Analysis'!$R$34)/'QS 16S Analysis'!$R$35))</f>
        <v>330.59221953268195</v>
      </c>
    </row>
    <row r="31" spans="2:32">
      <c r="P31" s="3">
        <v>14</v>
      </c>
      <c r="Q31" s="2">
        <f t="array" ref="Q31:S31">I11:K11</f>
        <v>33.040999999999997</v>
      </c>
      <c r="R31" s="2">
        <v>33.619</v>
      </c>
      <c r="S31" s="2">
        <v>33.049999999999997</v>
      </c>
      <c r="T31" s="2">
        <f t="shared" si="4"/>
        <v>33.236666666666665</v>
      </c>
      <c r="U31" s="2">
        <f t="shared" si="5"/>
        <v>0.15610134409936982</v>
      </c>
      <c r="V31" s="2">
        <f>IF(T31=0,0,10^((T31-'QS RNase P Analysis'!$R$34)/'QS RNase P Analysis'!$R$35))</f>
        <v>81.617692366420968</v>
      </c>
      <c r="Z31" s="3">
        <v>14</v>
      </c>
      <c r="AA31" s="2">
        <f t="array" ref="AA31:AC31">I24:K24</f>
        <v>20.332999999999998</v>
      </c>
      <c r="AB31" s="2">
        <v>20.350000000000001</v>
      </c>
      <c r="AC31" s="2">
        <v>20.350999999999999</v>
      </c>
      <c r="AD31" s="2">
        <f t="shared" si="7"/>
        <v>20.344666666666665</v>
      </c>
      <c r="AE31" s="2">
        <f t="shared" si="6"/>
        <v>4.7687252741949052E-3</v>
      </c>
      <c r="AF31" s="2">
        <f>IF(AD31=0,0,10^((AD31-'QS 16S Analysis'!$R$34)/'QS 16S Analysis'!$R$35))</f>
        <v>194.88055984306476</v>
      </c>
    </row>
    <row r="32" spans="2:32">
      <c r="P32" s="3">
        <v>15</v>
      </c>
      <c r="Q32" s="2">
        <f t="array" ref="Q32:S32">I12:K12</f>
        <v>34.283000000000001</v>
      </c>
      <c r="R32" s="2">
        <v>34.423000000000002</v>
      </c>
      <c r="S32" s="2">
        <v>34.161999999999999</v>
      </c>
      <c r="T32" s="2">
        <f t="shared" si="4"/>
        <v>34.289333333333332</v>
      </c>
      <c r="U32" s="2">
        <f t="shared" si="5"/>
        <v>6.15726009291898E-2</v>
      </c>
      <c r="V32" s="2">
        <f>IF(T32=0,0,10^((T32-'QS RNase P Analysis'!$R$34)/'QS RNase P Analysis'!$R$35))</f>
        <v>40.856848435272738</v>
      </c>
      <c r="Z32" s="3">
        <v>15</v>
      </c>
      <c r="AA32" s="2">
        <f t="array" ref="AA32:AC32">I25:K25</f>
        <v>22.09</v>
      </c>
      <c r="AB32" s="2">
        <v>22.135000000000002</v>
      </c>
      <c r="AC32" s="2">
        <v>22.141999999999999</v>
      </c>
      <c r="AD32" s="2">
        <f t="shared" si="7"/>
        <v>22.122333333333334</v>
      </c>
      <c r="AE32" s="2">
        <f t="shared" si="6"/>
        <v>1.3302742685738382E-2</v>
      </c>
      <c r="AF32" s="2">
        <f>IF(AD32=0,0,10^((AD32-'QS 16S Analysis'!$R$34)/'QS 16S Analysis'!$R$35))</f>
        <v>62.746333131758966</v>
      </c>
    </row>
    <row r="33" spans="16:32">
      <c r="P33" s="3">
        <v>16</v>
      </c>
      <c r="Q33" s="2">
        <f t="array" ref="Q33:S33">I13:K13</f>
        <v>31.149000000000001</v>
      </c>
      <c r="R33" s="2">
        <v>31.308</v>
      </c>
      <c r="S33" s="2">
        <v>31.280999999999999</v>
      </c>
      <c r="T33" s="2">
        <f t="shared" si="4"/>
        <v>31.245999999999999</v>
      </c>
      <c r="U33" s="2">
        <f t="shared" si="5"/>
        <v>4.0108187027920315E-2</v>
      </c>
      <c r="V33" s="2">
        <f>IF(T33=0,0,10^((T33-'QS RNase P Analysis'!$R$34)/'QS RNase P Analysis'!$R$35))</f>
        <v>302.05617146266468</v>
      </c>
      <c r="Z33" s="3">
        <v>16</v>
      </c>
      <c r="AA33" s="2">
        <f t="array" ref="AA33:AC33">I26:K26</f>
        <v>16.093</v>
      </c>
      <c r="AB33" s="2">
        <v>16.22</v>
      </c>
      <c r="AC33" s="2">
        <v>16.34</v>
      </c>
      <c r="AD33" s="2">
        <f t="shared" si="7"/>
        <v>16.21766666666667</v>
      </c>
      <c r="AE33" s="2">
        <f t="shared" si="6"/>
        <v>5.8226250920837178E-2</v>
      </c>
      <c r="AF33" s="2">
        <f>IF(AD33=0,0,10^((AD33-'QS 16S Analysis'!$R$34)/'QS 16S Analysis'!$R$35))</f>
        <v>2706.483796445244</v>
      </c>
    </row>
    <row r="34" spans="16:32">
      <c r="P34" s="3">
        <v>17</v>
      </c>
      <c r="Q34" s="2">
        <f t="array" ref="Q34:S34">L6:N6</f>
        <v>31.992999999999999</v>
      </c>
      <c r="R34" s="2">
        <v>32.256999999999998</v>
      </c>
      <c r="S34" s="2">
        <v>32.329000000000001</v>
      </c>
      <c r="T34" s="2">
        <f t="shared" si="4"/>
        <v>32.193000000000005</v>
      </c>
      <c r="U34" s="2">
        <f t="shared" si="5"/>
        <v>8.3394644112597074E-2</v>
      </c>
      <c r="V34" s="2">
        <f>IF(T34=0,0,10^((T34-'QS RNase P Analysis'!$R$34)/'QS RNase P Analysis'!$R$35))</f>
        <v>162.08185700585742</v>
      </c>
      <c r="Z34" s="3">
        <v>17</v>
      </c>
      <c r="AA34" s="2">
        <f t="array" ref="AA34:AC34">L19:N19</f>
        <v>20.302</v>
      </c>
      <c r="AB34" s="2">
        <v>20.689</v>
      </c>
      <c r="AC34" s="2">
        <v>20.672999999999998</v>
      </c>
      <c r="AD34" s="2">
        <f t="shared" si="7"/>
        <v>20.554666666666666</v>
      </c>
      <c r="AE34" s="2">
        <f t="shared" si="6"/>
        <v>0.10321965072744761</v>
      </c>
      <c r="AF34" s="2">
        <f>IF(AD34=0,0,10^((AD34-'QS 16S Analysis'!$R$34)/'QS 16S Analysis'!$R$35))</f>
        <v>170.46142016873949</v>
      </c>
    </row>
    <row r="35" spans="16:32">
      <c r="P35" s="3">
        <v>18</v>
      </c>
      <c r="Q35" s="2">
        <f t="array" ref="Q35:S35">L7:N7</f>
        <v>32.398000000000003</v>
      </c>
      <c r="R35" s="2">
        <v>32.598999999999997</v>
      </c>
      <c r="S35" s="2">
        <v>32.378</v>
      </c>
      <c r="T35" s="2">
        <f t="shared" si="4"/>
        <v>32.458333333333336</v>
      </c>
      <c r="U35" s="2">
        <f t="shared" si="5"/>
        <v>5.7620083947126664E-2</v>
      </c>
      <c r="V35" s="2">
        <f>IF(T35=0,0,10^((T35-'QS RNase P Analysis'!$R$34)/'QS RNase P Analysis'!$R$35))</f>
        <v>136.14007742970028</v>
      </c>
      <c r="Z35" s="3">
        <v>18</v>
      </c>
      <c r="AA35" s="2">
        <f t="array" ref="AA35:AC35">L20:N20</f>
        <v>19.425999999999998</v>
      </c>
      <c r="AB35" s="2">
        <v>19.582000000000001</v>
      </c>
      <c r="AC35" s="2">
        <v>19.795999999999999</v>
      </c>
      <c r="AD35" s="2">
        <f t="shared" si="7"/>
        <v>19.601333333333333</v>
      </c>
      <c r="AE35" s="2">
        <f t="shared" si="6"/>
        <v>8.7566271199885429E-2</v>
      </c>
      <c r="AF35" s="2">
        <f>IF(AD35=0,0,10^((AD35-'QS 16S Analysis'!$R$34)/'QS 16S Analysis'!$R$35))</f>
        <v>313.02153299679389</v>
      </c>
    </row>
    <row r="36" spans="16:32">
      <c r="P36" s="3">
        <v>19</v>
      </c>
      <c r="Q36" s="2">
        <f t="array" ref="Q36:S36">L8:N8</f>
        <v>29.911000000000001</v>
      </c>
      <c r="R36" s="2">
        <v>29.696999999999999</v>
      </c>
      <c r="S36" s="2">
        <v>29.687999999999999</v>
      </c>
      <c r="T36" s="2">
        <f t="shared" si="4"/>
        <v>29.765333333333334</v>
      </c>
      <c r="U36" s="2">
        <f t="shared" si="5"/>
        <v>5.950599098379121E-2</v>
      </c>
      <c r="V36" s="2">
        <f>IF(T36=0,0,10^((T36-'QS RNase P Analysis'!$R$34)/'QS RNase P Analysis'!$R$35))</f>
        <v>799.45550257910145</v>
      </c>
      <c r="Z36" s="3">
        <v>19</v>
      </c>
      <c r="AA36" s="2">
        <f t="array" ref="AA36:AC36">L21:N21</f>
        <v>18.989999999999998</v>
      </c>
      <c r="AB36" s="2">
        <v>18.988</v>
      </c>
      <c r="AC36" s="2">
        <v>18.97</v>
      </c>
      <c r="AD36" s="2">
        <f t="shared" si="7"/>
        <v>18.982666666666663</v>
      </c>
      <c r="AE36" s="2">
        <f t="shared" si="6"/>
        <v>5.1925873091324204E-3</v>
      </c>
      <c r="AF36" s="2">
        <f>IF(AD36=0,0,10^((AD36-'QS 16S Analysis'!$R$34)/'QS 16S Analysis'!$R$35))</f>
        <v>464.36942581648373</v>
      </c>
    </row>
    <row r="37" spans="16:32">
      <c r="P37" s="3">
        <v>20</v>
      </c>
      <c r="Q37" s="2">
        <f t="array" ref="Q37:S37">L9:N9</f>
        <v>30.241</v>
      </c>
      <c r="R37" s="2">
        <v>30.588000000000001</v>
      </c>
      <c r="S37" s="2">
        <v>30.771000000000001</v>
      </c>
      <c r="T37" s="2">
        <f t="shared" si="4"/>
        <v>30.533333333333331</v>
      </c>
      <c r="U37" s="2">
        <f t="shared" si="5"/>
        <v>0.12690007734288308</v>
      </c>
      <c r="V37" s="2">
        <f>IF(T37=0,0,10^((T37-'QS RNase P Analysis'!$R$34)/'QS RNase P Analysis'!$R$35))</f>
        <v>482.55032806378512</v>
      </c>
      <c r="Z37" s="3">
        <v>20</v>
      </c>
      <c r="AA37" s="2">
        <f t="array" ref="AA37:AC37">L22:N22</f>
        <v>20.684999999999999</v>
      </c>
      <c r="AB37" s="2">
        <v>21.326000000000001</v>
      </c>
      <c r="AC37" s="2">
        <v>21.812000000000001</v>
      </c>
      <c r="AD37" s="2">
        <f t="shared" si="7"/>
        <v>21.274333333333331</v>
      </c>
      <c r="AE37" s="2">
        <f t="shared" si="6"/>
        <v>0.26647256824977306</v>
      </c>
      <c r="AF37" s="2">
        <f>IF(AD37=0,0,10^((AD37-'QS 16S Analysis'!$R$34)/'QS 16S Analysis'!$R$35))</f>
        <v>107.73900612378782</v>
      </c>
    </row>
    <row r="38" spans="16:32">
      <c r="P38" s="3">
        <v>21</v>
      </c>
      <c r="Q38" s="2">
        <f t="array" ref="Q38:S38">L10:N10</f>
        <v>30.364999999999998</v>
      </c>
      <c r="R38" s="2">
        <v>30.64</v>
      </c>
      <c r="S38" s="2">
        <v>30.956</v>
      </c>
      <c r="T38" s="2">
        <f t="shared" si="4"/>
        <v>30.653666666666666</v>
      </c>
      <c r="U38" s="2">
        <f t="shared" si="5"/>
        <v>0.13941172701616497</v>
      </c>
      <c r="V38" s="2">
        <f>IF(T38=0,0,10^((T38-'QS RNase P Analysis'!$R$34)/'QS RNase P Analysis'!$R$35))</f>
        <v>445.85062395498915</v>
      </c>
      <c r="Z38" s="3">
        <v>21</v>
      </c>
      <c r="AA38" s="2">
        <f t="array" ref="AA38:AC38">L23:N23</f>
        <v>19.058</v>
      </c>
      <c r="AB38" s="2">
        <v>19.449000000000002</v>
      </c>
      <c r="AC38" s="2">
        <v>19.905000000000001</v>
      </c>
      <c r="AD38" s="2">
        <f t="shared" si="7"/>
        <v>19.47066666666667</v>
      </c>
      <c r="AE38" s="2">
        <f t="shared" si="6"/>
        <v>0.19983567323252477</v>
      </c>
      <c r="AF38" s="2">
        <f>IF(AD38=0,0,10^((AD38-'QS 16S Analysis'!$R$34)/'QS 16S Analysis'!$R$35))</f>
        <v>340.21363678153426</v>
      </c>
    </row>
    <row r="39" spans="16:32">
      <c r="P39" s="3">
        <v>22</v>
      </c>
      <c r="Q39" s="2">
        <f t="array" ref="Q39:S39">L11:N11</f>
        <v>32.265999999999998</v>
      </c>
      <c r="R39" s="2">
        <v>32.006</v>
      </c>
      <c r="S39" s="2">
        <v>32.262</v>
      </c>
      <c r="T39" s="2">
        <f t="shared" si="4"/>
        <v>32.177999999999997</v>
      </c>
      <c r="U39" s="2">
        <f t="shared" si="5"/>
        <v>7.0225035105406106E-2</v>
      </c>
      <c r="V39" s="2">
        <f>IF(T39=0,0,10^((T39-'QS RNase P Analysis'!$R$34)/'QS RNase P Analysis'!$R$35))</f>
        <v>163.6879324871322</v>
      </c>
      <c r="Z39" s="3">
        <v>22</v>
      </c>
      <c r="AA39" s="2">
        <f t="array" ref="AA39:AC39">L24:N24</f>
        <v>20.561</v>
      </c>
      <c r="AB39" s="2">
        <v>20.54</v>
      </c>
      <c r="AC39" s="2">
        <v>20.925999999999998</v>
      </c>
      <c r="AD39" s="2">
        <f t="shared" si="7"/>
        <v>20.675666666666668</v>
      </c>
      <c r="AE39" s="2">
        <f t="shared" si="6"/>
        <v>0.10231795034578683</v>
      </c>
      <c r="AF39" s="2">
        <f>IF(AD39=0,0,10^((AD39-'QS 16S Analysis'!$R$34)/'QS 16S Analysis'!$R$35))</f>
        <v>157.80653931337378</v>
      </c>
    </row>
    <row r="40" spans="16:32">
      <c r="P40" s="3">
        <v>23</v>
      </c>
      <c r="Q40" s="2">
        <f t="array" ref="Q40:S40">L12:N12</f>
        <v>0</v>
      </c>
      <c r="R40" s="2">
        <v>0</v>
      </c>
      <c r="S40" s="2">
        <v>0</v>
      </c>
      <c r="T40" s="2">
        <f t="shared" si="4"/>
        <v>0</v>
      </c>
      <c r="U40" s="2">
        <f t="shared" si="5"/>
        <v>0</v>
      </c>
      <c r="V40" s="2">
        <f>IF(T40=0,0,10^((T40-'QS RNase P Analysis'!$R$34)/'QS RNase P Analysis'!$R$35))</f>
        <v>0</v>
      </c>
      <c r="Z40" s="3">
        <v>23</v>
      </c>
      <c r="AA40" s="2">
        <f t="array" ref="AA40:AC40">L25:N25</f>
        <v>29.565999999999999</v>
      </c>
      <c r="AB40" s="2">
        <v>29.702999999999999</v>
      </c>
      <c r="AC40" s="2">
        <v>30.140999999999998</v>
      </c>
      <c r="AD40" s="2">
        <f t="shared" si="7"/>
        <v>29.803333333333331</v>
      </c>
      <c r="AE40" s="2">
        <f t="shared" si="6"/>
        <v>0.14158337420704378</v>
      </c>
      <c r="AF40" s="2">
        <f>IF(AD40=0,0,10^((AD40-'QS 16S Analysis'!$R$34)/'QS 16S Analysis'!$R$35))</f>
        <v>0.4687704865768289</v>
      </c>
    </row>
    <row r="41" spans="16:32">
      <c r="P41" s="3">
        <v>24</v>
      </c>
      <c r="Q41" s="2">
        <f t="array" ref="Q41:S41">L13:N13</f>
        <v>0</v>
      </c>
      <c r="R41" s="2">
        <v>0</v>
      </c>
      <c r="S41" s="2">
        <v>0</v>
      </c>
      <c r="T41" s="2">
        <f>IFERROR(AVERAGEIF(_xlfn.ANCHORARRAY(Q41),"&lt;&gt;0"),0)</f>
        <v>0</v>
      </c>
      <c r="U41" s="2">
        <f>IFERROR((_xlfn.STDEV.P(Q41:S41)/SQRT(3)),0)</f>
        <v>0</v>
      </c>
      <c r="V41" s="2">
        <f>IF(T41=0,0,10^((T41-'QS RNase P Analysis'!$R$34)/'QS RNase P Analysis'!$R$35))</f>
        <v>0</v>
      </c>
      <c r="Z41" s="3">
        <v>24</v>
      </c>
      <c r="AA41" s="2">
        <f t="array" ref="AA41:AC41">L26:N26</f>
        <v>29.428999999999998</v>
      </c>
      <c r="AB41" s="2">
        <v>30.292000000000002</v>
      </c>
      <c r="AC41" s="2">
        <v>29.492000000000001</v>
      </c>
      <c r="AD41" s="2">
        <f t="shared" si="7"/>
        <v>29.737666666666669</v>
      </c>
      <c r="AE41" s="2">
        <f t="shared" si="6"/>
        <v>0.22679228545243996</v>
      </c>
      <c r="AF41" s="2">
        <f>IF(AD41=0,0,10^((AD41-'QS 16S Analysis'!$R$34)/'QS 16S Analysis'!$R$35))</f>
        <v>0.48881137340614927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DF27-0128-473B-869C-F62A5AF38D7A}">
  <sheetPr>
    <outlinePr showOutlineSymbols="0"/>
    <pageSetUpPr fitToPage="1"/>
  </sheetPr>
  <dimension ref="A1:T64"/>
  <sheetViews>
    <sheetView tabSelected="1" showOutlineSymbols="0" topLeftCell="E25" zoomScale="70" zoomScaleNormal="70" workbookViewId="0">
      <selection activeCell="F31" sqref="F31"/>
    </sheetView>
  </sheetViews>
  <sheetFormatPr defaultRowHeight="14.5" outlineLevelRow="1" outlineLevelCol="1"/>
  <cols>
    <col min="2" max="2" width="22.54296875" customWidth="1"/>
    <col min="3" max="3" width="25.1796875" customWidth="1"/>
    <col min="4" max="4" width="14.1796875" customWidth="1"/>
    <col min="5" max="6" width="14.1796875" style="4" customWidth="1"/>
    <col min="7" max="7" width="11.81640625" customWidth="1"/>
    <col min="8" max="8" width="22.81640625" customWidth="1"/>
    <col min="9" max="9" width="17.81640625" customWidth="1"/>
    <col min="10" max="10" width="20.1796875" bestFit="1" customWidth="1"/>
    <col min="11" max="11" width="13.453125" customWidth="1"/>
    <col min="12" max="12" width="8.81640625" bestFit="1" customWidth="1"/>
    <col min="13" max="13" width="18.1796875" customWidth="1"/>
    <col min="14" max="14" width="18.453125" customWidth="1"/>
    <col min="17" max="17" width="18.1796875" customWidth="1"/>
    <col min="18" max="18" width="8.7265625" outlineLevel="1"/>
    <col min="19" max="19" width="18.453125" customWidth="1" outlineLevel="1"/>
    <col min="20" max="20" width="8.7265625" outlineLevel="1"/>
  </cols>
  <sheetData>
    <row r="1" spans="1:19">
      <c r="A1" s="7" t="str">
        <f>IF('QS Raw Results'!A25&gt;1, INDEX(_xlfn.TEXTSPLIT('QS Raw Results'!A25,"\"),1,7), "Paste Results File into Cell A2 of QS Raw Results")</f>
        <v>2025-11-05_095412_DEN078_RNaseP-16S.eds</v>
      </c>
    </row>
    <row r="2" spans="1:19">
      <c r="A2" s="7"/>
      <c r="K2" s="1"/>
      <c r="L2" s="11" t="s">
        <v>272</v>
      </c>
      <c r="M2" s="22">
        <f>Standards!G7</f>
        <v>209</v>
      </c>
    </row>
    <row r="3" spans="1:19">
      <c r="E3"/>
      <c r="F3"/>
      <c r="H3" s="10" t="s">
        <v>173</v>
      </c>
      <c r="K3" s="1"/>
      <c r="L3" s="11" t="s">
        <v>271</v>
      </c>
      <c r="M3" s="22">
        <f>_xlfn.NUMBERVALUE(_xlfn.TEXTBEFORE(Standards!C12," ("))</f>
        <v>14.36</v>
      </c>
      <c r="Q3" s="158" t="s">
        <v>188</v>
      </c>
      <c r="R3" s="158"/>
      <c r="S3" s="158"/>
    </row>
    <row r="4" spans="1:19">
      <c r="B4" s="10" t="s">
        <v>167</v>
      </c>
      <c r="C4" s="1"/>
      <c r="E4"/>
      <c r="F4"/>
    </row>
    <row r="5" spans="1:19" ht="15.5">
      <c r="B5" s="10"/>
      <c r="C5" s="1"/>
      <c r="E5"/>
      <c r="F5"/>
      <c r="H5" s="152" t="s">
        <v>169</v>
      </c>
      <c r="I5" s="153"/>
      <c r="J5" s="154"/>
      <c r="L5" s="155" t="s">
        <v>170</v>
      </c>
      <c r="M5" s="156"/>
      <c r="N5" s="157"/>
      <c r="Q5" s="162" t="str">
        <f>IF(J64="TRUE","PASSED","FAILED")</f>
        <v>PASSED</v>
      </c>
      <c r="R5" s="163"/>
      <c r="S5" s="164"/>
    </row>
    <row r="6" spans="1:19">
      <c r="B6" s="38" t="s">
        <v>1</v>
      </c>
      <c r="C6" s="38" t="s">
        <v>2</v>
      </c>
      <c r="D6" s="38" t="s">
        <v>221</v>
      </c>
      <c r="E6" s="38" t="s">
        <v>387</v>
      </c>
      <c r="F6" s="38" t="s">
        <v>304</v>
      </c>
      <c r="H6" s="38" t="s">
        <v>37</v>
      </c>
      <c r="I6" s="38" t="s">
        <v>166</v>
      </c>
      <c r="J6" s="38" t="s">
        <v>288</v>
      </c>
      <c r="L6" s="38" t="s">
        <v>37</v>
      </c>
      <c r="M6" s="38" t="s">
        <v>171</v>
      </c>
      <c r="N6" s="38" t="s">
        <v>165</v>
      </c>
    </row>
    <row r="7" spans="1:19">
      <c r="B7" s="9">
        <v>1</v>
      </c>
      <c r="C7" s="9" t="str">
        <f>IF(ISBLANK('Sample List'!C6)=TRUE,"",'Sample List'!C6)</f>
        <v>PD005745RME2_D_Hu_01</v>
      </c>
      <c r="D7" s="8">
        <f>'QS Calculations'!T18</f>
        <v>32.740666666666669</v>
      </c>
      <c r="E7" s="12">
        <f>'QS Calculations'!V18/100</f>
        <v>1.1307962390566899</v>
      </c>
      <c r="F7" s="12">
        <f>'QS Calculations'!U18</f>
        <v>0.14231134360450237</v>
      </c>
      <c r="H7" s="9" t="s">
        <v>5</v>
      </c>
      <c r="I7" s="8">
        <f>'QS Calculations'!T6</f>
        <v>21.935666666666666</v>
      </c>
      <c r="J7" s="8">
        <f t="array" ref="J7:J14">'QS Calculations'!V6:V13</f>
        <v>137416.3906427091</v>
      </c>
      <c r="L7" s="9" t="s">
        <v>5</v>
      </c>
      <c r="M7" s="8">
        <f>LOG(((3.6*(10^11))/((2*(N7/1000))/0.00646246)),2)</f>
        <v>22.886090230171455</v>
      </c>
      <c r="N7" s="8">
        <f>(M2*1000)*(M3/20)</f>
        <v>150062</v>
      </c>
    </row>
    <row r="8" spans="1:19">
      <c r="B8" s="9">
        <v>2</v>
      </c>
      <c r="C8" s="9" t="str">
        <f>IF(ISBLANK('Sample List'!C7)=TRUE,"",'Sample List'!C7)</f>
        <v>PD005599RME1_D_Hu_01</v>
      </c>
      <c r="D8" s="8">
        <f>'QS Calculations'!T19</f>
        <v>31.813666666666666</v>
      </c>
      <c r="E8" s="12">
        <f>'QS Calculations'!V19/100</f>
        <v>2.0798307064184183</v>
      </c>
      <c r="F8" s="12">
        <f>'QS Calculations'!U19</f>
        <v>5.3144108763777669E-2</v>
      </c>
      <c r="H8" s="9" t="s">
        <v>6</v>
      </c>
      <c r="I8" s="8">
        <f>'QS Calculations'!T7</f>
        <v>24.007000000000001</v>
      </c>
      <c r="J8" s="8">
        <v>35213.248853490913</v>
      </c>
      <c r="L8" s="9" t="s">
        <v>6</v>
      </c>
      <c r="M8" s="8">
        <f t="shared" ref="M8" si="0">LOG(((3.6*(10^11))/((2*(N8/1000))/0.00646246)),2)</f>
        <v>25.038093323616504</v>
      </c>
      <c r="N8" s="8">
        <f>N7*(4.5/20)</f>
        <v>33763.950000000004</v>
      </c>
    </row>
    <row r="9" spans="1:19">
      <c r="B9" s="9">
        <v>3</v>
      </c>
      <c r="C9" s="9" t="str">
        <f>IF(ISBLANK('Sample List'!C8)=TRUE,"",'Sample List'!C8)</f>
        <v>PD005595RME1_D_Hu_01</v>
      </c>
      <c r="D9" s="8">
        <f>'QS Calculations'!T20</f>
        <v>30.164000000000001</v>
      </c>
      <c r="E9" s="12">
        <f>'QS Calculations'!V20/100</f>
        <v>6.1515046633063912</v>
      </c>
      <c r="F9" s="12">
        <f>'QS Calculations'!U20</f>
        <v>0.14329224217195619</v>
      </c>
      <c r="H9" s="9" t="s">
        <v>7</v>
      </c>
      <c r="I9" s="8">
        <f>'QS Calculations'!T8</f>
        <v>26.228999999999999</v>
      </c>
      <c r="J9" s="8">
        <v>8172.6093091466537</v>
      </c>
      <c r="L9" s="9" t="s">
        <v>7</v>
      </c>
      <c r="M9" s="8">
        <f>LOG(((3.6*(10^11))/((2*(N9/1000))/0.00646246)),2)</f>
        <v>27.190096417061554</v>
      </c>
      <c r="N9" s="8">
        <f t="shared" ref="N9:N12" si="1">N8*(4.5/20)</f>
        <v>7596.888750000001</v>
      </c>
    </row>
    <row r="10" spans="1:19">
      <c r="B10" s="9">
        <v>4</v>
      </c>
      <c r="C10" s="9" t="str">
        <f>IF(ISBLANK('Sample List'!C9)=TRUE,"",'Sample List'!C9)</f>
        <v>PD005590RME1_D_Hu_01</v>
      </c>
      <c r="D10" s="8">
        <f>'QS Calculations'!T21</f>
        <v>29.844333333333335</v>
      </c>
      <c r="E10" s="12">
        <f>'QS Calculations'!V21/100</f>
        <v>7.5899875458213009</v>
      </c>
      <c r="F10" s="12">
        <f>'QS Calculations'!U21</f>
        <v>6.2005973427894483E-2</v>
      </c>
      <c r="H10" s="9" t="s">
        <v>8</v>
      </c>
      <c r="I10" s="8">
        <f>'QS Calculations'!T9</f>
        <v>28.544</v>
      </c>
      <c r="J10" s="8">
        <v>1784.2897139684183</v>
      </c>
      <c r="L10" s="9" t="s">
        <v>8</v>
      </c>
      <c r="M10" s="8">
        <f t="shared" ref="M10:M11" si="2">LOG(((3.6*(10^11))/((2*(N10/1000))/0.00646246)),2)</f>
        <v>29.342099510506603</v>
      </c>
      <c r="N10" s="8">
        <f t="shared" si="1"/>
        <v>1709.2999687500003</v>
      </c>
    </row>
    <row r="11" spans="1:19">
      <c r="B11" s="9">
        <v>5</v>
      </c>
      <c r="C11" s="9" t="str">
        <f>IF(ISBLANK('Sample List'!C10)=TRUE,"",'Sample List'!C10)</f>
        <v>PD005585RME1_D_Hu_01</v>
      </c>
      <c r="D11" s="8">
        <f>'QS Calculations'!T22</f>
        <v>28.474999999999998</v>
      </c>
      <c r="E11" s="12">
        <f>'QS Calculations'!V22/100</f>
        <v>18.670836036648119</v>
      </c>
      <c r="F11" s="12">
        <f>'QS Calculations'!U22</f>
        <v>0.13690954028928023</v>
      </c>
      <c r="G11" t="s">
        <v>234</v>
      </c>
      <c r="H11" s="9" t="s">
        <v>9</v>
      </c>
      <c r="I11" s="8">
        <f>'QS Calculations'!T10</f>
        <v>30.928666666666668</v>
      </c>
      <c r="J11" s="8">
        <v>372.11852420849152</v>
      </c>
      <c r="L11" s="9" t="s">
        <v>9</v>
      </c>
      <c r="M11" s="8">
        <f t="shared" si="2"/>
        <v>31.494102603951657</v>
      </c>
      <c r="N11" s="8">
        <f t="shared" si="1"/>
        <v>384.59249296875009</v>
      </c>
    </row>
    <row r="12" spans="1:19">
      <c r="B12" s="9">
        <v>6</v>
      </c>
      <c r="C12" s="9" t="str">
        <f>IF(ISBLANK('Sample List'!C11)=TRUE,"",'Sample List'!C11)</f>
        <v>PD005594RME1_D_Hu_01</v>
      </c>
      <c r="D12" s="8">
        <f>'QS Calculations'!T23</f>
        <v>30.689666666666668</v>
      </c>
      <c r="E12" s="12">
        <f>'QS Calculations'!V23/100</f>
        <v>4.3542359205532222</v>
      </c>
      <c r="F12" s="12">
        <f>'QS Calculations'!U23</f>
        <v>5.6696724054556391E-2</v>
      </c>
      <c r="H12" s="9" t="s">
        <v>10</v>
      </c>
      <c r="I12" s="8">
        <f>'QS Calculations'!T11</f>
        <v>33.204000000000001</v>
      </c>
      <c r="J12" s="8">
        <v>83.389260180251711</v>
      </c>
      <c r="L12" s="9" t="s">
        <v>10</v>
      </c>
      <c r="M12" s="8">
        <f>LOG(((3.6*(10^11))/((2*(N12/1000))/0.00646246)),2)</f>
        <v>33.646105697396706</v>
      </c>
      <c r="N12" s="8">
        <f t="shared" si="1"/>
        <v>86.533310917968777</v>
      </c>
    </row>
    <row r="13" spans="1:19">
      <c r="B13" s="9">
        <v>7</v>
      </c>
      <c r="C13" s="9" t="str">
        <f>IF(ISBLANK('Sample List'!C12)=TRUE,"",'Sample List'!C12)</f>
        <v>PD005593RME1_D_Hu_01</v>
      </c>
      <c r="D13" s="8">
        <f>'QS Calculations'!T24</f>
        <v>33.126666666666665</v>
      </c>
      <c r="E13" s="12">
        <f>'QS Calculations'!V24/100</f>
        <v>0.87737962961544325</v>
      </c>
      <c r="F13" s="12">
        <f>'QS Calculations'!U24</f>
        <v>0.57170103557197871</v>
      </c>
      <c r="H13" s="9" t="s">
        <v>238</v>
      </c>
      <c r="I13" s="8">
        <f>'QS Calculations'!T12</f>
        <v>26.815999999999999</v>
      </c>
      <c r="J13" s="8">
        <v>5556.2484071163944</v>
      </c>
      <c r="L13" s="9" t="s">
        <v>238</v>
      </c>
      <c r="M13" s="8">
        <f>LOG(((3.6*(10^11))/((2*(N13/1000))/0.00646246)),2)</f>
        <v>26.793577016525937</v>
      </c>
      <c r="N13" s="8">
        <v>10000</v>
      </c>
    </row>
    <row r="14" spans="1:19">
      <c r="B14" s="9">
        <v>8</v>
      </c>
      <c r="C14" s="9" t="str">
        <f>IF(ISBLANK('Sample List'!C13)=TRUE,"",'Sample List'!C13)</f>
        <v>PD005592RME1_D_Hu_01</v>
      </c>
      <c r="D14" s="8">
        <f>'QS Calculations'!T25</f>
        <v>30.154666666666667</v>
      </c>
      <c r="E14" s="12">
        <f>'QS Calculations'!V25/100</f>
        <v>6.1893618619574582</v>
      </c>
      <c r="F14" s="12">
        <f>'QS Calculations'!U25</f>
        <v>4.0225291472829133E-2</v>
      </c>
      <c r="H14" s="9" t="s">
        <v>19</v>
      </c>
      <c r="I14" s="8">
        <f>'QS Calculations'!T13</f>
        <v>0</v>
      </c>
      <c r="J14" s="8">
        <v>0</v>
      </c>
      <c r="L14" s="9" t="s">
        <v>19</v>
      </c>
      <c r="M14" s="9">
        <v>0</v>
      </c>
      <c r="N14" s="9">
        <v>0</v>
      </c>
    </row>
    <row r="15" spans="1:19">
      <c r="B15" s="9">
        <v>9</v>
      </c>
      <c r="C15" s="9" t="str">
        <f>IF(ISBLANK('Sample List'!C14)=TRUE,"",'Sample List'!C14)</f>
        <v>PD005584RME1_D_Hu_01</v>
      </c>
      <c r="D15" s="8">
        <f>'QS Calculations'!T26</f>
        <v>26.892333333333337</v>
      </c>
      <c r="E15" s="12">
        <f>'QS Calculations'!V26/100</f>
        <v>52.843273306470586</v>
      </c>
      <c r="F15" s="12">
        <f>'QS Calculations'!U26</f>
        <v>1.8893463498335865E-2</v>
      </c>
      <c r="H15" s="34" t="s">
        <v>172</v>
      </c>
      <c r="I15" s="33"/>
      <c r="J15" s="33"/>
      <c r="K15" s="33"/>
      <c r="L15" s="34" t="s">
        <v>172</v>
      </c>
    </row>
    <row r="16" spans="1:19">
      <c r="B16" s="9">
        <v>10</v>
      </c>
      <c r="C16" s="9" t="str">
        <f>IF(ISBLANK('Sample List'!C15)=TRUE,"",'Sample List'!C15)</f>
        <v>PD005578RME1_D_Hu_01</v>
      </c>
      <c r="D16" s="8">
        <f>'QS Calculations'!T27</f>
        <v>29.66033333333333</v>
      </c>
      <c r="E16" s="12">
        <f>'QS Calculations'!V27/100</f>
        <v>8.5658430334351756</v>
      </c>
      <c r="F16" s="12">
        <f>'QS Calculations'!U27</f>
        <v>3.7074499572057572E-2</v>
      </c>
      <c r="H16" s="33" t="s">
        <v>291</v>
      </c>
      <c r="I16" s="35"/>
      <c r="J16" s="33"/>
      <c r="K16" s="33"/>
      <c r="L16" s="36" t="s">
        <v>290</v>
      </c>
    </row>
    <row r="17" spans="2:19">
      <c r="B17" s="9">
        <v>11</v>
      </c>
      <c r="C17" s="9" t="str">
        <f>IF(ISBLANK('Sample List'!C16)=TRUE,"",'Sample List'!C16)</f>
        <v>PD005575RME1_D_Hu_01</v>
      </c>
      <c r="D17" s="8">
        <f>'QS Calculations'!T28</f>
        <v>29.691000000000003</v>
      </c>
      <c r="E17" s="12">
        <f>'QS Calculations'!V28/100</f>
        <v>8.3948950360573686</v>
      </c>
      <c r="F17" s="12">
        <f>'QS Calculations'!U28</f>
        <v>2.2895899681432977E-2</v>
      </c>
      <c r="H17" s="33" t="s">
        <v>292</v>
      </c>
      <c r="I17" s="33"/>
      <c r="J17" s="33"/>
      <c r="K17" s="33"/>
      <c r="L17" s="36" t="s">
        <v>282</v>
      </c>
    </row>
    <row r="18" spans="2:19">
      <c r="B18" s="9">
        <v>12</v>
      </c>
      <c r="C18" s="9" t="str">
        <f>IF(ISBLANK('Sample List'!C17)=TRUE,"",'Sample List'!C17)</f>
        <v>PD005572RME1_D_Hu_01</v>
      </c>
      <c r="D18" s="8">
        <f>'QS Calculations'!T29</f>
        <v>28.950666666666667</v>
      </c>
      <c r="E18" s="12">
        <f>'QS Calculations'!V29/100</f>
        <v>13.657416743390506</v>
      </c>
      <c r="F18" s="12">
        <f>'QS Calculations'!U29</f>
        <v>3.1163844197807315E-2</v>
      </c>
      <c r="I18" s="33"/>
      <c r="J18" s="33"/>
      <c r="K18" s="33"/>
      <c r="L18" s="36" t="s">
        <v>203</v>
      </c>
    </row>
    <row r="19" spans="2:19">
      <c r="B19" s="9">
        <v>13</v>
      </c>
      <c r="C19" s="9" t="str">
        <f>IF(ISBLANK('Sample List'!C18)=TRUE,"",'Sample List'!C18)</f>
        <v>PD005571RME1_D_Hu_01</v>
      </c>
      <c r="D19" s="8">
        <f>'QS Calculations'!T30</f>
        <v>31.818333333333332</v>
      </c>
      <c r="E19" s="12">
        <f>'QS Calculations'!V30/100</f>
        <v>2.0734603136755321</v>
      </c>
      <c r="F19" s="12">
        <f>'QS Calculations'!U30</f>
        <v>7.6064787200463224E-2</v>
      </c>
    </row>
    <row r="20" spans="2:19">
      <c r="B20" s="9">
        <v>14</v>
      </c>
      <c r="C20" s="9" t="str">
        <f>IF(ISBLANK('Sample List'!C19)=TRUE,"",'Sample List'!C19)</f>
        <v>PD005568RME1_D_Hu_01</v>
      </c>
      <c r="D20" s="8">
        <f>'QS Calculations'!T31</f>
        <v>33.236666666666665</v>
      </c>
      <c r="E20" s="12">
        <f>'QS Calculations'!V31/100</f>
        <v>0.81617692366420969</v>
      </c>
      <c r="F20" s="12">
        <f>'QS Calculations'!U31</f>
        <v>0.15610134409936982</v>
      </c>
      <c r="H20" s="10" t="s">
        <v>168</v>
      </c>
    </row>
    <row r="21" spans="2:19">
      <c r="B21" s="9">
        <v>15</v>
      </c>
      <c r="C21" s="9" t="str">
        <f>IF(ISBLANK('Sample List'!C20)=TRUE,"",'Sample List'!C20)</f>
        <v>PD005565RME1_D_Hu_01</v>
      </c>
      <c r="D21" s="8">
        <f>'QS Calculations'!T32</f>
        <v>34.289333333333332</v>
      </c>
      <c r="E21" s="12">
        <f>'QS Calculations'!V32/100</f>
        <v>0.40856848435272736</v>
      </c>
      <c r="F21" s="12">
        <f>'QS Calculations'!U32</f>
        <v>6.15726009291898E-2</v>
      </c>
      <c r="H21" s="152" t="s">
        <v>169</v>
      </c>
      <c r="I21" s="153"/>
      <c r="J21" s="153"/>
      <c r="K21" s="154"/>
      <c r="N21" s="155" t="s">
        <v>177</v>
      </c>
      <c r="O21" s="156"/>
      <c r="P21" s="156"/>
      <c r="Q21" s="156"/>
      <c r="R21" s="156"/>
      <c r="S21" s="157"/>
    </row>
    <row r="22" spans="2:19">
      <c r="B22" s="9">
        <v>16</v>
      </c>
      <c r="C22" s="9" t="str">
        <f>IF(ISBLANK('Sample List'!C21)=TRUE,"",'Sample List'!C21)</f>
        <v>PD005564RME4_D_Hu_01</v>
      </c>
      <c r="D22" s="8">
        <f>'QS Calculations'!T33</f>
        <v>31.245999999999999</v>
      </c>
      <c r="E22" s="12">
        <f>'QS Calculations'!V33/100</f>
        <v>3.0205617146266466</v>
      </c>
      <c r="F22" s="12">
        <f>'QS Calculations'!U33</f>
        <v>4.0108187027920315E-2</v>
      </c>
      <c r="H22" s="38" t="s">
        <v>37</v>
      </c>
      <c r="I22" s="38" t="s">
        <v>166</v>
      </c>
      <c r="J22" s="38" t="s">
        <v>165</v>
      </c>
      <c r="K22" s="38" t="s">
        <v>235</v>
      </c>
      <c r="N22" s="38" t="s">
        <v>37</v>
      </c>
      <c r="O22" s="37" t="s">
        <v>176</v>
      </c>
      <c r="P22" s="37" t="s">
        <v>174</v>
      </c>
      <c r="Q22" s="37" t="s">
        <v>175</v>
      </c>
      <c r="R22" s="37" t="s">
        <v>293</v>
      </c>
      <c r="S22" s="37" t="s">
        <v>110</v>
      </c>
    </row>
    <row r="23" spans="2:19">
      <c r="B23" s="9">
        <v>17</v>
      </c>
      <c r="C23" s="9" t="str">
        <f>IF(ISBLANK('Sample List'!C22)=TRUE,"",'Sample List'!C22)</f>
        <v>PD005563RME1_D_Hu_01</v>
      </c>
      <c r="D23" s="8">
        <f>'QS Calculations'!T34</f>
        <v>32.193000000000005</v>
      </c>
      <c r="E23" s="12">
        <f>'QS Calculations'!V34/100</f>
        <v>1.6208185700585742</v>
      </c>
      <c r="F23" s="12">
        <f>'QS Calculations'!U34</f>
        <v>8.3394644112597074E-2</v>
      </c>
      <c r="H23" s="9" t="s">
        <v>5</v>
      </c>
      <c r="I23" s="8">
        <f>I7</f>
        <v>21.935666666666666</v>
      </c>
      <c r="J23" s="8">
        <f>J7</f>
        <v>137416.3906427091</v>
      </c>
      <c r="K23" s="15">
        <f>LOG(N7)</f>
        <v>5.1762707303533544</v>
      </c>
      <c r="N23" s="9" t="s">
        <v>5</v>
      </c>
      <c r="O23" s="8">
        <f>'QS Calculations'!Q6</f>
        <v>21.844000000000001</v>
      </c>
      <c r="P23" s="8">
        <f>'QS Calculations'!R6</f>
        <v>21.873999999999999</v>
      </c>
      <c r="Q23" s="8">
        <f>'QS Calculations'!S6</f>
        <v>22.088999999999999</v>
      </c>
      <c r="R23" s="8">
        <f>'QS Calculations'!U6</f>
        <v>6.2996178602503061E-2</v>
      </c>
      <c r="S23" s="8" t="s">
        <v>179</v>
      </c>
    </row>
    <row r="24" spans="2:19">
      <c r="B24" s="9">
        <v>18</v>
      </c>
      <c r="C24" s="9" t="str">
        <f>IF(ISBLANK('Sample List'!C23)=TRUE,"",'Sample List'!C23)</f>
        <v>PD005562RME1_D_Hu_01</v>
      </c>
      <c r="D24" s="8">
        <f>'QS Calculations'!T35</f>
        <v>32.458333333333336</v>
      </c>
      <c r="E24" s="12">
        <f>'QS Calculations'!V35/100</f>
        <v>1.3614007742970029</v>
      </c>
      <c r="F24" s="12">
        <f>'QS Calculations'!U35</f>
        <v>5.7620083947126664E-2</v>
      </c>
      <c r="H24" s="9" t="s">
        <v>6</v>
      </c>
      <c r="I24" s="8">
        <f t="shared" ref="I24:J28" si="3">I8</f>
        <v>24.007000000000001</v>
      </c>
      <c r="J24" s="8">
        <f t="shared" si="3"/>
        <v>35213.248853490913</v>
      </c>
      <c r="K24" s="15">
        <f t="shared" ref="K24:K28" si="4">LOG(N8)</f>
        <v>4.5284532484647171</v>
      </c>
      <c r="N24" s="9" t="s">
        <v>6</v>
      </c>
      <c r="O24" s="8">
        <f>'QS Calculations'!Q7</f>
        <v>24.036000000000001</v>
      </c>
      <c r="P24" s="8">
        <f>'QS Calculations'!R7</f>
        <v>24.010999999999999</v>
      </c>
      <c r="Q24" s="8">
        <f>'QS Calculations'!S7</f>
        <v>23.974</v>
      </c>
      <c r="R24" s="8">
        <f>'QS Calculations'!U7</f>
        <v>1.4704496666742077E-2</v>
      </c>
      <c r="S24" s="8">
        <f>I24-I23</f>
        <v>2.0713333333333352</v>
      </c>
    </row>
    <row r="25" spans="2:19">
      <c r="B25" s="9">
        <v>19</v>
      </c>
      <c r="C25" s="9" t="str">
        <f>IF(ISBLANK('Sample List'!C24)=TRUE,"",'Sample List'!C24)</f>
        <v>PD005561RME1_D_Hu_01</v>
      </c>
      <c r="D25" s="8">
        <f>'QS Calculations'!T36</f>
        <v>29.765333333333334</v>
      </c>
      <c r="E25" s="12">
        <f>'QS Calculations'!V36/100</f>
        <v>7.9945550257910147</v>
      </c>
      <c r="F25" s="12">
        <f>'QS Calculations'!U36</f>
        <v>5.950599098379121E-2</v>
      </c>
      <c r="H25" s="9" t="s">
        <v>7</v>
      </c>
      <c r="I25" s="8">
        <f t="shared" si="3"/>
        <v>26.228999999999999</v>
      </c>
      <c r="J25" s="8">
        <f t="shared" si="3"/>
        <v>8172.6093091466537</v>
      </c>
      <c r="K25" s="15">
        <f t="shared" si="4"/>
        <v>3.8806357665760793</v>
      </c>
      <c r="N25" s="9" t="s">
        <v>7</v>
      </c>
      <c r="O25" s="8">
        <f>'QS Calculations'!Q8</f>
        <v>26.28</v>
      </c>
      <c r="P25" s="8">
        <f>'QS Calculations'!R8</f>
        <v>26.151</v>
      </c>
      <c r="Q25" s="8">
        <f>'QS Calculations'!S8</f>
        <v>26.256</v>
      </c>
      <c r="R25" s="8">
        <f>'QS Calculations'!U8</f>
        <v>3.234192325759274E-2</v>
      </c>
      <c r="S25" s="8">
        <f t="shared" ref="S25:S27" si="5">I25-I24</f>
        <v>2.2219999999999978</v>
      </c>
    </row>
    <row r="26" spans="2:19">
      <c r="B26" s="9">
        <v>20</v>
      </c>
      <c r="C26" s="9" t="str">
        <f>IF(ISBLANK('Sample List'!C25)=TRUE,"",'Sample List'!C25)</f>
        <v>PD005558RME1_D_Hu_01</v>
      </c>
      <c r="D26" s="8">
        <f>'QS Calculations'!T37</f>
        <v>30.533333333333331</v>
      </c>
      <c r="E26" s="12">
        <f>'QS Calculations'!V37/100</f>
        <v>4.8255032806378511</v>
      </c>
      <c r="F26" s="12">
        <f>'QS Calculations'!U37</f>
        <v>0.12690007734288308</v>
      </c>
      <c r="H26" s="9" t="s">
        <v>8</v>
      </c>
      <c r="I26" s="8">
        <f t="shared" si="3"/>
        <v>28.544</v>
      </c>
      <c r="J26" s="8">
        <f t="shared" si="3"/>
        <v>1784.2897139684183</v>
      </c>
      <c r="K26" s="15">
        <f t="shared" si="4"/>
        <v>3.232818284687442</v>
      </c>
      <c r="N26" s="9" t="s">
        <v>8</v>
      </c>
      <c r="O26" s="8">
        <f>'QS Calculations'!Q9</f>
        <v>28.527000000000001</v>
      </c>
      <c r="P26" s="8">
        <f>'QS Calculations'!R9</f>
        <v>28.664999999999999</v>
      </c>
      <c r="Q26" s="8">
        <f>'QS Calculations'!S9</f>
        <v>28.44</v>
      </c>
      <c r="R26" s="8">
        <f>'QS Calculations'!U9</f>
        <v>5.3485200445231681E-2</v>
      </c>
      <c r="S26" s="8">
        <f t="shared" si="5"/>
        <v>2.3150000000000013</v>
      </c>
    </row>
    <row r="27" spans="2:19">
      <c r="B27" s="9">
        <v>21</v>
      </c>
      <c r="C27" s="9" t="str">
        <f>IF(ISBLANK('Sample List'!C26)=TRUE,"",'Sample List'!C26)</f>
        <v>PD005557RME1_D_Hu_01</v>
      </c>
      <c r="D27" s="8">
        <f>'QS Calculations'!T38</f>
        <v>30.653666666666666</v>
      </c>
      <c r="E27" s="12">
        <f>'QS Calculations'!V38/100</f>
        <v>4.4585062395498918</v>
      </c>
      <c r="F27" s="12">
        <f>'QS Calculations'!U38</f>
        <v>0.13941172701616497</v>
      </c>
      <c r="H27" s="9" t="s">
        <v>9</v>
      </c>
      <c r="I27" s="8">
        <f t="shared" si="3"/>
        <v>30.928666666666668</v>
      </c>
      <c r="J27" s="8">
        <f t="shared" si="3"/>
        <v>372.11852420849152</v>
      </c>
      <c r="K27" s="15">
        <f t="shared" si="4"/>
        <v>2.5850008027988043</v>
      </c>
      <c r="N27" s="9" t="s">
        <v>9</v>
      </c>
      <c r="O27" s="8">
        <f>'QS Calculations'!Q10</f>
        <v>30.902000000000001</v>
      </c>
      <c r="P27" s="8">
        <f>'QS Calculations'!R10</f>
        <v>30.93</v>
      </c>
      <c r="Q27" s="8">
        <f>'QS Calculations'!S10</f>
        <v>30.954000000000001</v>
      </c>
      <c r="R27" s="8">
        <f>'QS Calculations'!U10</f>
        <v>1.226859888163746E-2</v>
      </c>
      <c r="S27" s="8">
        <f t="shared" si="5"/>
        <v>2.3846666666666678</v>
      </c>
    </row>
    <row r="28" spans="2:19">
      <c r="B28" s="9">
        <v>22</v>
      </c>
      <c r="C28" s="9" t="str">
        <f>IF(ISBLANK('Sample List'!C27)=TRUE,"",'Sample List'!C27)</f>
        <v>PD005556RME1_D_Hu_01</v>
      </c>
      <c r="D28" s="8">
        <f>'QS Calculations'!T39</f>
        <v>32.177999999999997</v>
      </c>
      <c r="E28" s="12">
        <f>'QS Calculations'!V39/100</f>
        <v>1.636879324871322</v>
      </c>
      <c r="F28" s="12">
        <f>'QS Calculations'!U39</f>
        <v>7.0225035105406106E-2</v>
      </c>
      <c r="H28" s="9" t="s">
        <v>10</v>
      </c>
      <c r="I28" s="8">
        <f>I12</f>
        <v>33.204000000000001</v>
      </c>
      <c r="J28" s="8">
        <f t="shared" si="3"/>
        <v>83.389260180251711</v>
      </c>
      <c r="K28" s="15">
        <f t="shared" si="4"/>
        <v>1.937183320910167</v>
      </c>
      <c r="N28" s="9" t="s">
        <v>10</v>
      </c>
      <c r="O28" s="8">
        <f>'QS Calculations'!Q11</f>
        <v>33.328000000000003</v>
      </c>
      <c r="P28" s="8">
        <f>'QS Calculations'!R11</f>
        <v>33.005000000000003</v>
      </c>
      <c r="Q28" s="8">
        <f>'QS Calculations'!S11</f>
        <v>33.279000000000003</v>
      </c>
      <c r="R28" s="8">
        <f>'QS Calculations'!U11</f>
        <v>8.2058244896875437E-2</v>
      </c>
      <c r="S28" s="8">
        <f>I28-I27</f>
        <v>2.2753333333333323</v>
      </c>
    </row>
    <row r="29" spans="2:19">
      <c r="B29" s="9">
        <v>23</v>
      </c>
      <c r="C29" s="9" t="str">
        <f>IF(ISBLANK('Sample List'!C28)=TRUE,"",'Sample List'!C28)</f>
        <v>DEN078-POS_D_Hu_01</v>
      </c>
      <c r="D29" s="8">
        <f>'QS Calculations'!T40</f>
        <v>0</v>
      </c>
      <c r="E29" s="12">
        <f>'QS Calculations'!V40/100</f>
        <v>0</v>
      </c>
      <c r="F29" s="12">
        <f>'QS Calculations'!U40</f>
        <v>0</v>
      </c>
      <c r="H29" s="32" t="s">
        <v>236</v>
      </c>
      <c r="I29" s="2"/>
      <c r="J29" s="2"/>
      <c r="K29" s="17"/>
      <c r="N29" s="3"/>
      <c r="O29" s="2"/>
      <c r="P29" s="2"/>
      <c r="Q29" s="2"/>
      <c r="R29" s="2"/>
      <c r="S29" s="2"/>
    </row>
    <row r="30" spans="2:19">
      <c r="B30" s="9">
        <v>24</v>
      </c>
      <c r="C30" s="9" t="str">
        <f>IF(ISBLANK('Sample List'!C29)=TRUE,"",'Sample List'!C29)</f>
        <v>DEN078-NEG_D_Hu_01</v>
      </c>
      <c r="D30" s="8">
        <f>'QS Calculations'!T41</f>
        <v>0</v>
      </c>
      <c r="E30" s="12">
        <f>'QS Calculations'!V41/100</f>
        <v>0</v>
      </c>
      <c r="F30" s="12">
        <f>'QS Calculations'!U41</f>
        <v>0</v>
      </c>
    </row>
    <row r="31" spans="2:19">
      <c r="B31" s="9" t="str">
        <f>'Sample List'!B30</f>
        <v xml:space="preserve">POS Control </v>
      </c>
      <c r="C31" s="9" t="str">
        <f>'Sample List'!C30</f>
        <v>Human Male DNA 10ng/uL</v>
      </c>
      <c r="D31" s="8">
        <f>'QS Calculations'!T12</f>
        <v>26.815999999999999</v>
      </c>
      <c r="E31" s="8">
        <f>'QS Calculations'!V12/1000</f>
        <v>5.556248407116394</v>
      </c>
      <c r="F31" s="12">
        <f>'QS Calculations'!U12</f>
        <v>7.2985783445717596</v>
      </c>
      <c r="H31" s="10" t="s">
        <v>178</v>
      </c>
    </row>
    <row r="32" spans="2:19">
      <c r="B32" s="9" t="str">
        <f>'Sample List'!B31</f>
        <v>NEG Control</v>
      </c>
      <c r="C32" s="9" t="str">
        <f>'Sample List'!C31</f>
        <v>NF-Water</v>
      </c>
      <c r="D32" s="8">
        <f>'QS Calculations'!T13</f>
        <v>0</v>
      </c>
      <c r="E32" s="8">
        <f>'QS Calculations'!V13</f>
        <v>0</v>
      </c>
      <c r="F32" s="12">
        <f>'QS Calculations'!U13</f>
        <v>0</v>
      </c>
    </row>
    <row r="33" spans="2:19">
      <c r="B33" s="32" t="s">
        <v>223</v>
      </c>
      <c r="C33" s="3"/>
      <c r="D33" s="3"/>
      <c r="G33" s="2"/>
      <c r="H33" s="2"/>
      <c r="I33" s="2"/>
      <c r="R33" s="10" t="s">
        <v>396</v>
      </c>
    </row>
    <row r="34" spans="2:19">
      <c r="D34" s="5"/>
      <c r="G34" s="2"/>
      <c r="H34" s="2"/>
      <c r="I34" s="2"/>
      <c r="R34" s="15">
        <f>INTERCEPT(I23:I28,K23:K28)</f>
        <v>39.933310202038875</v>
      </c>
      <c r="S34" s="93" t="s">
        <v>180</v>
      </c>
    </row>
    <row r="35" spans="2:19">
      <c r="B35" s="10" t="s">
        <v>224</v>
      </c>
      <c r="C35" s="2"/>
      <c r="D35" s="3"/>
      <c r="G35" s="2"/>
      <c r="H35" s="2"/>
      <c r="I35" s="2"/>
      <c r="R35" s="15">
        <f>SLOPE(I23:I28,K23:K28)</f>
        <v>-3.5028237731018188</v>
      </c>
      <c r="S35" s="93" t="s">
        <v>182</v>
      </c>
    </row>
    <row r="36" spans="2:19">
      <c r="B36" s="81" t="s">
        <v>283</v>
      </c>
      <c r="C36" s="16" t="s">
        <v>305</v>
      </c>
      <c r="G36" s="2"/>
      <c r="H36" s="2"/>
      <c r="I36" s="2"/>
      <c r="R36" s="94"/>
      <c r="S36" s="94"/>
    </row>
    <row r="37" spans="2:19">
      <c r="B37" s="29" t="s">
        <v>283</v>
      </c>
      <c r="C37" s="16" t="s">
        <v>239</v>
      </c>
      <c r="G37" s="2"/>
      <c r="H37" s="2"/>
      <c r="I37" s="2"/>
      <c r="R37" s="8">
        <f>10^(-1/R35)</f>
        <v>1.9296740628795055</v>
      </c>
      <c r="S37" s="93" t="s">
        <v>183</v>
      </c>
    </row>
    <row r="38" spans="2:19">
      <c r="B38" s="80" t="s">
        <v>283</v>
      </c>
      <c r="C38" s="79" t="s">
        <v>306</v>
      </c>
      <c r="G38" s="2"/>
      <c r="H38" s="2"/>
      <c r="I38" s="2"/>
      <c r="R38" s="8">
        <f>(R37-1)*100</f>
        <v>92.967406287950553</v>
      </c>
      <c r="S38" s="93" t="s">
        <v>184</v>
      </c>
    </row>
    <row r="39" spans="2:19">
      <c r="G39" s="2"/>
      <c r="H39" s="2"/>
      <c r="I39" s="2"/>
      <c r="R39" s="14">
        <f>RSQ(I23:I28,K23:K28)</f>
        <v>0.99950836248992281</v>
      </c>
      <c r="S39" s="93" t="s">
        <v>185</v>
      </c>
    </row>
    <row r="40" spans="2:19">
      <c r="G40" s="2"/>
      <c r="H40" s="2"/>
      <c r="I40" s="2"/>
    </row>
    <row r="41" spans="2:19">
      <c r="G41" s="2"/>
      <c r="H41" s="2"/>
      <c r="I41" s="2"/>
    </row>
    <row r="42" spans="2:19">
      <c r="G42" s="2"/>
      <c r="H42" s="2"/>
      <c r="I42" s="2"/>
    </row>
    <row r="55" spans="5:11">
      <c r="H55" s="10" t="s">
        <v>114</v>
      </c>
    </row>
    <row r="57" spans="5:11">
      <c r="H57" s="88" t="s">
        <v>186</v>
      </c>
      <c r="I57" s="37" t="s">
        <v>187</v>
      </c>
      <c r="J57" s="37" t="s">
        <v>113</v>
      </c>
      <c r="K57" s="37" t="s">
        <v>188</v>
      </c>
    </row>
    <row r="58" spans="5:11">
      <c r="H58" s="89" t="s">
        <v>111</v>
      </c>
      <c r="I58" s="9" t="s">
        <v>115</v>
      </c>
      <c r="J58" s="8">
        <f>R38</f>
        <v>92.967406287950553</v>
      </c>
      <c r="K58" s="9" t="str">
        <f>IF(J58&lt;115,IF(J58&gt;85,"PASS","FAIL"),"FAIL")</f>
        <v>PASS</v>
      </c>
    </row>
    <row r="59" spans="5:11" outlineLevel="1">
      <c r="H59" s="89" t="s">
        <v>112</v>
      </c>
      <c r="I59" s="9" t="s">
        <v>116</v>
      </c>
      <c r="J59" s="14">
        <f>R39</f>
        <v>0.99950836248992281</v>
      </c>
      <c r="K59" s="9" t="str">
        <f>IF(J59&gt;=0.98,"PASS","FAIL")</f>
        <v>PASS</v>
      </c>
    </row>
    <row r="60" spans="5:11" outlineLevel="1">
      <c r="E60" s="97"/>
      <c r="H60" s="89" t="s">
        <v>19</v>
      </c>
      <c r="I60" s="9" t="s">
        <v>237</v>
      </c>
      <c r="J60" s="8">
        <f>I14</f>
        <v>0</v>
      </c>
      <c r="K60" s="9" t="str">
        <f>IF(J60&lt;38,IF(J60&gt;0.01,"FAIL","PASS"),"PASS")</f>
        <v>PASS</v>
      </c>
    </row>
    <row r="61" spans="5:11" outlineLevel="1">
      <c r="E61" s="97"/>
      <c r="H61" s="89" t="s">
        <v>117</v>
      </c>
      <c r="I61" s="9" t="s">
        <v>118</v>
      </c>
      <c r="J61" s="8">
        <f>E31</f>
        <v>5.556248407116394</v>
      </c>
      <c r="K61" s="9" t="str">
        <f>IF(J61&lt;15,IF(J61&gt;5,"PASS","FAIL"),"FAIL")</f>
        <v>PASS</v>
      </c>
    </row>
    <row r="62" spans="5:11" outlineLevel="1">
      <c r="H62" s="9" t="s">
        <v>395</v>
      </c>
      <c r="I62" s="9" t="s">
        <v>397</v>
      </c>
      <c r="J62" s="15">
        <f>R34</f>
        <v>39.933310202038875</v>
      </c>
      <c r="K62" s="9" t="str">
        <f>IF(OR(J62&lt;40-(40*0.025),J62&gt;40+(40*0.025)),"FAIL","PASS")</f>
        <v>PASS</v>
      </c>
    </row>
    <row r="63" spans="5:11" outlineLevel="1"/>
    <row r="64" spans="5:11">
      <c r="I64" s="11" t="s">
        <v>189</v>
      </c>
      <c r="J64" s="5" t="str">
        <f>IF(K58="PASS",IF(K59="PASS",IF(K60="PASS",IF(K61="PASS","TRUE"),"FALSE"),"FALSE"),"FALSE")</f>
        <v>TRUE</v>
      </c>
    </row>
  </sheetData>
  <sheetProtection algorithmName="SHA-512" hashValue="pCrKBDbgOZdlifjuZB02XyUwaFYa7vwvDUlSJvBFTVow41qATqtVyzJze6n9ZvzRyIvX+x2rkUs2RK6J1GXZNg==" saltValue="u8nHuxSdbCqK4CaZD51efw==" spinCount="100000" sheet="1" objects="1" scenarios="1"/>
  <mergeCells count="6">
    <mergeCell ref="Q3:S3"/>
    <mergeCell ref="H5:J5"/>
    <mergeCell ref="L5:N5"/>
    <mergeCell ref="Q5:S5"/>
    <mergeCell ref="H21:K21"/>
    <mergeCell ref="N21:S21"/>
  </mergeCells>
  <conditionalFormatting sqref="E7:E30">
    <cfRule type="expression" dxfId="13" priority="1">
      <formula>D7&lt;$I$7</formula>
    </cfRule>
    <cfRule type="expression" dxfId="12" priority="2">
      <formula>D7&gt;$I$12</formula>
    </cfRule>
  </conditionalFormatting>
  <conditionalFormatting sqref="F7:F32">
    <cfRule type="cellIs" dxfId="11" priority="3" operator="greaterThan">
      <formula>0.5</formula>
    </cfRule>
  </conditionalFormatting>
  <conditionalFormatting sqref="Q5:S5">
    <cfRule type="cellIs" dxfId="10" priority="7" operator="equal">
      <formula>"FAILED"</formula>
    </cfRule>
    <cfRule type="cellIs" dxfId="9" priority="8" operator="equal">
      <formula>"PASSED"</formula>
    </cfRule>
  </conditionalFormatting>
  <pageMargins left="0.7" right="0.7" top="0.75" bottom="0.75" header="0.3" footer="0.3"/>
  <pageSetup paperSize="9" scale="5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2A6E-6D1A-4B58-BC7D-983E9331342F}">
  <dimension ref="A1:S64"/>
  <sheetViews>
    <sheetView topLeftCell="F49" zoomScale="80" zoomScaleNormal="80" workbookViewId="0">
      <selection activeCell="M70" sqref="M70"/>
    </sheetView>
  </sheetViews>
  <sheetFormatPr defaultRowHeight="14.5"/>
  <cols>
    <col min="2" max="2" width="15.81640625" customWidth="1"/>
    <col min="3" max="3" width="15.453125" customWidth="1"/>
    <col min="4" max="4" width="9" bestFit="1" customWidth="1"/>
    <col min="5" max="5" width="17.54296875" bestFit="1" customWidth="1"/>
    <col min="6" max="6" width="10.54296875" bestFit="1" customWidth="1"/>
    <col min="8" max="8" width="22.54296875" customWidth="1"/>
    <col min="9" max="9" width="16" bestFit="1" customWidth="1"/>
    <col min="10" max="10" width="25.7265625" bestFit="1" customWidth="1"/>
    <col min="11" max="11" width="13.7265625" bestFit="1" customWidth="1"/>
    <col min="12" max="12" width="11.7265625" bestFit="1" customWidth="1"/>
    <col min="13" max="13" width="9.1796875" customWidth="1"/>
    <col min="14" max="14" width="24.54296875" bestFit="1" customWidth="1"/>
    <col min="19" max="19" width="17.453125" customWidth="1"/>
    <col min="20" max="20" width="15.26953125" bestFit="1" customWidth="1"/>
  </cols>
  <sheetData>
    <row r="1" spans="1:19">
      <c r="A1" s="7" t="str">
        <f>IF('QS Raw Results'!A25&gt;1, INDEX(_xlfn.TEXTSPLIT('QS Raw Results'!A25,"\"),1,7), "Paste Results File into Cell A2 of QS Raw Results")</f>
        <v>2025-11-05_095412_DEN078_RNaseP-16S.eds</v>
      </c>
      <c r="E1" s="4"/>
      <c r="F1" s="4"/>
    </row>
    <row r="2" spans="1:19">
      <c r="A2" s="7"/>
      <c r="E2" s="4"/>
      <c r="F2" s="4"/>
      <c r="N2" s="1"/>
      <c r="O2" s="11"/>
      <c r="P2" s="3"/>
    </row>
    <row r="3" spans="1:19">
      <c r="D3" s="4"/>
      <c r="E3" s="4"/>
      <c r="F3" s="4"/>
      <c r="H3" s="10" t="s">
        <v>173</v>
      </c>
      <c r="N3" s="1"/>
      <c r="O3" s="11"/>
      <c r="P3" s="3"/>
    </row>
    <row r="4" spans="1:19">
      <c r="B4" s="10" t="s">
        <v>167</v>
      </c>
      <c r="C4" s="1"/>
      <c r="D4" s="4"/>
      <c r="E4" s="4"/>
      <c r="F4" s="4"/>
      <c r="Q4" s="158" t="s">
        <v>188</v>
      </c>
      <c r="R4" s="158"/>
      <c r="S4" s="158"/>
    </row>
    <row r="5" spans="1:19">
      <c r="B5" s="10"/>
      <c r="C5" s="1"/>
      <c r="D5" s="4"/>
      <c r="E5" s="4"/>
      <c r="F5" s="4"/>
      <c r="H5" s="160" t="s">
        <v>169</v>
      </c>
      <c r="I5" s="160"/>
      <c r="J5" s="160"/>
      <c r="L5" s="159" t="s">
        <v>170</v>
      </c>
      <c r="M5" s="159"/>
      <c r="N5" s="159"/>
    </row>
    <row r="6" spans="1:19" ht="15.5">
      <c r="B6" s="38" t="s">
        <v>1</v>
      </c>
      <c r="C6" s="38" t="s">
        <v>2</v>
      </c>
      <c r="D6" s="38" t="s">
        <v>221</v>
      </c>
      <c r="E6" s="38" t="s">
        <v>387</v>
      </c>
      <c r="F6" s="38" t="s">
        <v>304</v>
      </c>
      <c r="H6" s="38" t="s">
        <v>37</v>
      </c>
      <c r="I6" s="38" t="s">
        <v>166</v>
      </c>
      <c r="J6" s="38" t="s">
        <v>288</v>
      </c>
      <c r="L6" s="38" t="s">
        <v>37</v>
      </c>
      <c r="M6" s="38" t="s">
        <v>171</v>
      </c>
      <c r="N6" s="38" t="s">
        <v>165</v>
      </c>
      <c r="Q6" s="161" t="str">
        <f>IF(J63="TRUE","PASSED","FAILED")</f>
        <v>PASSED</v>
      </c>
      <c r="R6" s="161"/>
      <c r="S6" s="161"/>
    </row>
    <row r="7" spans="1:19">
      <c r="B7" s="9">
        <v>1</v>
      </c>
      <c r="C7" s="9" t="str">
        <f>IF(ISBLANK('Sample List'!C6)=TRUE,"",'Sample List'!C6)</f>
        <v>PD005745RME2_D_Hu_01</v>
      </c>
      <c r="D7" s="8">
        <f>'QS Calculations'!AD18</f>
        <v>20.918000000000003</v>
      </c>
      <c r="E7" s="12">
        <f>'QS Calculations'!AF18/100</f>
        <v>1.3521675004042371</v>
      </c>
      <c r="F7" s="12">
        <f>'QS Calculations'!AE18</f>
        <v>3.6986484017813341E-2</v>
      </c>
      <c r="H7" s="9" t="s">
        <v>5</v>
      </c>
      <c r="I7" s="8">
        <f>'QS Calculations'!AD6</f>
        <v>13.128333333333332</v>
      </c>
      <c r="J7" s="8">
        <f>'QS Calculations'!AF6</f>
        <v>19397.464977356689</v>
      </c>
      <c r="L7" s="9" t="s">
        <v>5</v>
      </c>
      <c r="M7" s="8">
        <v>12</v>
      </c>
      <c r="N7" s="8">
        <v>20000</v>
      </c>
    </row>
    <row r="8" spans="1:19">
      <c r="B8" s="9">
        <v>2</v>
      </c>
      <c r="C8" s="9" t="str">
        <f>IF(ISBLANK('Sample List'!C7)=TRUE,"",'Sample List'!C7)</f>
        <v>PD005599RME1_D_Hu_01</v>
      </c>
      <c r="D8" s="8">
        <f>'QS Calculations'!AD19</f>
        <v>18.948333333333334</v>
      </c>
      <c r="E8" s="12">
        <f>'QS Calculations'!AF19/100</f>
        <v>4.7464558063471536</v>
      </c>
      <c r="F8" s="12">
        <f>'QS Calculations'!AE19</f>
        <v>6.933386751930927E-2</v>
      </c>
      <c r="H8" s="9" t="s">
        <v>6</v>
      </c>
      <c r="I8" s="8">
        <f>'QS Calculations'!AD7</f>
        <v>16.201999999999998</v>
      </c>
      <c r="J8" s="8">
        <f>'QS Calculations'!AF7</f>
        <v>2733.6508234025468</v>
      </c>
      <c r="L8" s="9" t="s">
        <v>6</v>
      </c>
      <c r="M8" s="8">
        <v>15</v>
      </c>
      <c r="N8" s="8">
        <v>2500</v>
      </c>
    </row>
    <row r="9" spans="1:19">
      <c r="B9" s="9">
        <v>3</v>
      </c>
      <c r="C9" s="9" t="str">
        <f>IF(ISBLANK('Sample List'!C8)=TRUE,"",'Sample List'!C8)</f>
        <v>PD005595RME1_D_Hu_01</v>
      </c>
      <c r="D9" s="8">
        <f>'QS Calculations'!AD20</f>
        <v>25.87233333333333</v>
      </c>
      <c r="E9" s="12">
        <f>'QS Calculations'!AF20/100</f>
        <v>5.7455408751555782E-2</v>
      </c>
      <c r="F9" s="12">
        <f>'QS Calculations'!AE20</f>
        <v>0.19932237056438826</v>
      </c>
      <c r="H9" s="9" t="s">
        <v>7</v>
      </c>
      <c r="I9" s="8">
        <f>'QS Calculations'!AD8</f>
        <v>19.678666666666668</v>
      </c>
      <c r="J9" s="8">
        <f>'QS Calculations'!AF8</f>
        <v>297.96348045300874</v>
      </c>
      <c r="L9" s="9" t="s">
        <v>7</v>
      </c>
      <c r="M9" s="8">
        <v>19</v>
      </c>
      <c r="N9" s="8">
        <v>312.5</v>
      </c>
    </row>
    <row r="10" spans="1:19">
      <c r="B10" s="9">
        <v>4</v>
      </c>
      <c r="C10" s="9" t="str">
        <f>IF(ISBLANK('Sample List'!C9)=TRUE,"",'Sample List'!C9)</f>
        <v>PD005590RME1_D_Hu_01</v>
      </c>
      <c r="D10" s="8">
        <f>'QS Calculations'!AD21</f>
        <v>19.065333333333331</v>
      </c>
      <c r="E10" s="12">
        <f>'QS Calculations'!AF21/100</f>
        <v>4.4053032516599133</v>
      </c>
      <c r="F10" s="12">
        <f>'QS Calculations'!AE21</f>
        <v>4.0205951282347455E-2</v>
      </c>
      <c r="H10" s="9" t="s">
        <v>8</v>
      </c>
      <c r="I10" s="8">
        <f>'QS Calculations'!AD9</f>
        <v>22.935000000000002</v>
      </c>
      <c r="J10" s="8">
        <f>'QS Calculations'!AF9</f>
        <v>37.375449904428919</v>
      </c>
      <c r="L10" s="9" t="s">
        <v>8</v>
      </c>
      <c r="M10" s="8">
        <v>22</v>
      </c>
      <c r="N10" s="8">
        <v>39.06</v>
      </c>
    </row>
    <row r="11" spans="1:19">
      <c r="B11" s="9">
        <v>5</v>
      </c>
      <c r="C11" s="9" t="str">
        <f>IF(ISBLANK('Sample List'!C10)=TRUE,"",'Sample List'!C10)</f>
        <v>PD005585RME1_D_Hu_01</v>
      </c>
      <c r="D11" s="8">
        <f>'QS Calculations'!AD22</f>
        <v>21.037000000000003</v>
      </c>
      <c r="E11" s="12">
        <f>'QS Calculations'!AF22/100</f>
        <v>1.2533810497823059</v>
      </c>
      <c r="F11" s="12">
        <f>'QS Calculations'!AE22</f>
        <v>0.13433870956983632</v>
      </c>
      <c r="G11" t="s">
        <v>234</v>
      </c>
      <c r="H11" s="9" t="s">
        <v>9</v>
      </c>
      <c r="I11" s="8">
        <f>'QS Calculations'!AD10</f>
        <v>26.08666666666667</v>
      </c>
      <c r="J11" s="8">
        <f>'QS Calculations'!AF10</f>
        <v>5.0117423752266186</v>
      </c>
      <c r="L11" s="9" t="s">
        <v>9</v>
      </c>
      <c r="M11" s="8">
        <v>25</v>
      </c>
      <c r="N11" s="8">
        <v>4.88</v>
      </c>
    </row>
    <row r="12" spans="1:19">
      <c r="B12" s="9">
        <v>6</v>
      </c>
      <c r="C12" s="9" t="str">
        <f>IF(ISBLANK('Sample List'!C11)=TRUE,"",'Sample List'!C11)</f>
        <v>PD005594RME1_D_Hu_01</v>
      </c>
      <c r="D12" s="8">
        <f>'QS Calculations'!AD23</f>
        <v>25.004000000000001</v>
      </c>
      <c r="E12" s="12">
        <f>'QS Calculations'!AF23/100</f>
        <v>9.9941346235509002E-2</v>
      </c>
      <c r="F12" s="12">
        <f>'QS Calculations'!AE23</f>
        <v>3.3369979855486447E-2</v>
      </c>
      <c r="H12" s="9" t="s">
        <v>10</v>
      </c>
      <c r="I12" s="8">
        <f>'QS Calculations'!AD11</f>
        <v>29.380333333333336</v>
      </c>
      <c r="J12" s="8">
        <f>'QS Calculations'!AF11</f>
        <v>0.61386899583347709</v>
      </c>
      <c r="L12" s="9" t="s">
        <v>10</v>
      </c>
      <c r="M12" s="8">
        <v>29</v>
      </c>
      <c r="N12" s="8">
        <v>0.61</v>
      </c>
    </row>
    <row r="13" spans="1:19">
      <c r="B13" s="9">
        <v>7</v>
      </c>
      <c r="C13" s="9" t="str">
        <f>IF(ISBLANK('Sample List'!C12)=TRUE,"",'Sample List'!C12)</f>
        <v>PD005593RME1_D_Hu_01</v>
      </c>
      <c r="D13" s="8">
        <f>'QS Calculations'!AD24</f>
        <v>18.201000000000001</v>
      </c>
      <c r="E13" s="12">
        <f>'QS Calculations'!AF24/100</f>
        <v>7.6433300177670809</v>
      </c>
      <c r="F13" s="12">
        <f>'QS Calculations'!AE24</f>
        <v>0.14943077178264075</v>
      </c>
      <c r="H13" s="9" t="s">
        <v>19</v>
      </c>
      <c r="I13" s="8">
        <f>'QS Calculations'!AD12</f>
        <v>0</v>
      </c>
      <c r="J13" s="8">
        <f>'QS Calculations'!AF12</f>
        <v>0</v>
      </c>
      <c r="L13" s="9" t="s">
        <v>19</v>
      </c>
      <c r="M13" s="8" t="s">
        <v>388</v>
      </c>
      <c r="N13" s="8">
        <v>0</v>
      </c>
    </row>
    <row r="14" spans="1:19">
      <c r="B14" s="9">
        <v>8</v>
      </c>
      <c r="C14" s="9" t="str">
        <f>IF(ISBLANK('Sample List'!C13)=TRUE,"",'Sample List'!C13)</f>
        <v>PD005592RME1_D_Hu_01</v>
      </c>
      <c r="D14" s="8">
        <f>'QS Calculations'!AD25</f>
        <v>17.744666666666667</v>
      </c>
      <c r="E14" s="12">
        <f>'QS Calculations'!AF25/100</f>
        <v>10.224145114362747</v>
      </c>
      <c r="F14" s="12">
        <f>'QS Calculations'!AE25</f>
        <v>3.4439426157734251E-2</v>
      </c>
      <c r="H14" s="32" t="s">
        <v>172</v>
      </c>
      <c r="I14" s="91"/>
      <c r="J14" s="91"/>
      <c r="L14" s="32" t="s">
        <v>172</v>
      </c>
      <c r="M14" s="3"/>
      <c r="N14" s="3"/>
    </row>
    <row r="15" spans="1:19">
      <c r="B15" s="9">
        <v>9</v>
      </c>
      <c r="C15" s="9" t="str">
        <f>IF(ISBLANK('Sample List'!C14)=TRUE,"",'Sample List'!C14)</f>
        <v>PD005584RME1_D_Hu_01</v>
      </c>
      <c r="D15" s="8">
        <f>'QS Calculations'!AD26</f>
        <v>26.071333333333332</v>
      </c>
      <c r="E15" s="12">
        <f>'QS Calculations'!AF26/100</f>
        <v>5.0609734337451279E-2</v>
      </c>
      <c r="F15" s="12">
        <f>'QS Calculations'!AE26</f>
        <v>2.406626654022577E-2</v>
      </c>
      <c r="H15" s="33" t="s">
        <v>291</v>
      </c>
      <c r="I15" s="33"/>
      <c r="J15" s="33"/>
      <c r="K15" s="33"/>
      <c r="L15" s="32"/>
    </row>
    <row r="16" spans="1:19">
      <c r="B16" s="9">
        <v>10</v>
      </c>
      <c r="C16" s="9" t="str">
        <f>IF(ISBLANK('Sample List'!C15)=TRUE,"",'Sample List'!C15)</f>
        <v>PD005578RME1_D_Hu_01</v>
      </c>
      <c r="D16" s="8">
        <f>'QS Calculations'!AD27</f>
        <v>17.770666666666667</v>
      </c>
      <c r="E16" s="12">
        <f>'QS Calculations'!AF27/100</f>
        <v>10.056073062644765</v>
      </c>
      <c r="F16" s="12">
        <f>'QS Calculations'!AE27</f>
        <v>2.7686070839295886E-2</v>
      </c>
      <c r="H16" s="33" t="s">
        <v>292</v>
      </c>
      <c r="I16" s="35"/>
      <c r="J16" s="33"/>
      <c r="K16" s="33"/>
      <c r="L16" s="36"/>
    </row>
    <row r="17" spans="2:19">
      <c r="B17" s="9">
        <v>11</v>
      </c>
      <c r="C17" s="9" t="str">
        <f>IF(ISBLANK('Sample List'!C16)=TRUE,"",'Sample List'!C16)</f>
        <v>PD005575RME1_D_Hu_01</v>
      </c>
      <c r="D17" s="8">
        <f>'QS Calculations'!AD28</f>
        <v>19.037666666666667</v>
      </c>
      <c r="E17" s="12">
        <f>'QS Calculations'!AF28/100</f>
        <v>4.4836927278948</v>
      </c>
      <c r="F17" s="12">
        <f>'QS Calculations'!AE28</f>
        <v>3.2250179442509498E-2</v>
      </c>
      <c r="H17" s="33"/>
      <c r="I17" s="33"/>
      <c r="J17" s="33"/>
      <c r="K17" s="33"/>
      <c r="L17" s="36"/>
    </row>
    <row r="18" spans="2:19">
      <c r="B18" s="9">
        <v>12</v>
      </c>
      <c r="C18" s="9" t="str">
        <f>IF(ISBLANK('Sample List'!C17)=TRUE,"",'Sample List'!C17)</f>
        <v>PD005572RME1_D_Hu_01</v>
      </c>
      <c r="D18" s="8">
        <f>'QS Calculations'!AD29</f>
        <v>15.949333333333334</v>
      </c>
      <c r="E18" s="12">
        <f>'QS Calculations'!AF29/100</f>
        <v>32.114304336173326</v>
      </c>
      <c r="F18" s="12">
        <f>'QS Calculations'!AE29</f>
        <v>4.6044262118901294E-2</v>
      </c>
      <c r="I18" s="33"/>
      <c r="J18" s="33"/>
      <c r="K18" s="33"/>
      <c r="L18" s="36"/>
    </row>
    <row r="19" spans="2:19">
      <c r="B19" s="9">
        <v>13</v>
      </c>
      <c r="C19" s="9" t="str">
        <f>IF(ISBLANK('Sample List'!C18)=TRUE,"",'Sample List'!C18)</f>
        <v>PD005571RME1_D_Hu_01</v>
      </c>
      <c r="D19" s="8">
        <f>'QS Calculations'!AD30</f>
        <v>19.515666666666668</v>
      </c>
      <c r="E19" s="12">
        <f>'QS Calculations'!AF30/100</f>
        <v>3.3059221953268194</v>
      </c>
      <c r="F19" s="12">
        <f>'QS Calculations'!AE30</f>
        <v>4.4875960734583782E-2</v>
      </c>
    </row>
    <row r="20" spans="2:19">
      <c r="B20" s="9">
        <v>14</v>
      </c>
      <c r="C20" s="9" t="str">
        <f>IF(ISBLANK('Sample List'!C19)=TRUE,"",'Sample List'!C19)</f>
        <v>PD005568RME1_D_Hu_01</v>
      </c>
      <c r="D20" s="8">
        <f>'QS Calculations'!AD31</f>
        <v>20.344666666666665</v>
      </c>
      <c r="E20" s="12">
        <f>'QS Calculations'!AF31/100</f>
        <v>1.9488055984306476</v>
      </c>
      <c r="F20" s="12">
        <f>'QS Calculations'!AE31</f>
        <v>4.7687252741949052E-3</v>
      </c>
      <c r="H20" s="10" t="s">
        <v>168</v>
      </c>
    </row>
    <row r="21" spans="2:19">
      <c r="B21" s="9">
        <v>15</v>
      </c>
      <c r="C21" s="9" t="str">
        <f>IF(ISBLANK('Sample List'!C20)=TRUE,"",'Sample List'!C20)</f>
        <v>PD005565RME1_D_Hu_01</v>
      </c>
      <c r="D21" s="8">
        <f>'QS Calculations'!AD32</f>
        <v>22.122333333333334</v>
      </c>
      <c r="E21" s="12">
        <f>'QS Calculations'!AF32/100</f>
        <v>0.62746333131758969</v>
      </c>
      <c r="F21" s="12">
        <f>'QS Calculations'!AE32</f>
        <v>1.3302742685738382E-2</v>
      </c>
      <c r="H21" s="160" t="s">
        <v>169</v>
      </c>
      <c r="I21" s="160"/>
      <c r="J21" s="160"/>
      <c r="K21" s="160"/>
      <c r="N21" s="155" t="s">
        <v>177</v>
      </c>
      <c r="O21" s="156"/>
      <c r="P21" s="156"/>
      <c r="Q21" s="156"/>
      <c r="R21" s="156"/>
      <c r="S21" s="157"/>
    </row>
    <row r="22" spans="2:19">
      <c r="B22" s="9">
        <v>16</v>
      </c>
      <c r="C22" s="9" t="str">
        <f>IF(ISBLANK('Sample List'!C21)=TRUE,"",'Sample List'!C21)</f>
        <v>PD005564RME4_D_Hu_01</v>
      </c>
      <c r="D22" s="8">
        <f>'QS Calculations'!AD33</f>
        <v>16.21766666666667</v>
      </c>
      <c r="E22" s="12">
        <f>'QS Calculations'!AF33/100</f>
        <v>27.06483796445244</v>
      </c>
      <c r="F22" s="12">
        <f>'QS Calculations'!AE33</f>
        <v>5.8226250920837178E-2</v>
      </c>
      <c r="H22" s="38" t="s">
        <v>37</v>
      </c>
      <c r="I22" s="38" t="s">
        <v>166</v>
      </c>
      <c r="J22" s="38" t="s">
        <v>165</v>
      </c>
      <c r="K22" s="38" t="s">
        <v>235</v>
      </c>
      <c r="N22" s="38" t="s">
        <v>37</v>
      </c>
      <c r="O22" s="37" t="s">
        <v>176</v>
      </c>
      <c r="P22" s="37" t="s">
        <v>174</v>
      </c>
      <c r="Q22" s="37" t="s">
        <v>175</v>
      </c>
      <c r="R22" s="37" t="s">
        <v>293</v>
      </c>
      <c r="S22" s="37" t="s">
        <v>110</v>
      </c>
    </row>
    <row r="23" spans="2:19">
      <c r="B23" s="9">
        <v>17</v>
      </c>
      <c r="C23" s="9" t="str">
        <f>IF(ISBLANK('Sample List'!C22)=TRUE,"",'Sample List'!C22)</f>
        <v>PD005563RME1_D_Hu_01</v>
      </c>
      <c r="D23" s="8">
        <f>'QS Calculations'!AD34</f>
        <v>20.554666666666666</v>
      </c>
      <c r="E23" s="12">
        <f>'QS Calculations'!AF34/100</f>
        <v>1.7046142016873949</v>
      </c>
      <c r="F23" s="12">
        <f>'QS Calculations'!AE34</f>
        <v>0.10321965072744761</v>
      </c>
      <c r="H23" s="9" t="s">
        <v>5</v>
      </c>
      <c r="I23" s="8">
        <f>I7</f>
        <v>13.128333333333332</v>
      </c>
      <c r="J23" s="8">
        <f>J7</f>
        <v>19397.464977356689</v>
      </c>
      <c r="K23" s="15">
        <f>LOG(N7)</f>
        <v>4.3010299956639813</v>
      </c>
      <c r="N23" s="9" t="s">
        <v>5</v>
      </c>
      <c r="O23" s="8">
        <f t="array" ref="O23:Q23">_xlfn.ANCHORARRAY('QS Calculations'!AA6)</f>
        <v>13.061</v>
      </c>
      <c r="P23" s="8">
        <v>13.081</v>
      </c>
      <c r="Q23" s="8">
        <v>13.243</v>
      </c>
      <c r="R23" s="8">
        <f>'QS Calculations'!AE6</f>
        <v>4.7049225600743358E-2</v>
      </c>
      <c r="S23" s="8" t="s">
        <v>179</v>
      </c>
    </row>
    <row r="24" spans="2:19">
      <c r="B24" s="9">
        <v>18</v>
      </c>
      <c r="C24" s="9" t="str">
        <f>IF(ISBLANK('Sample List'!C23)=TRUE,"",'Sample List'!C23)</f>
        <v>PD005562RME1_D_Hu_01</v>
      </c>
      <c r="D24" s="8">
        <f>'QS Calculations'!AD35</f>
        <v>19.601333333333333</v>
      </c>
      <c r="E24" s="12">
        <f>'QS Calculations'!AF35/100</f>
        <v>3.1302153299679389</v>
      </c>
      <c r="F24" s="12">
        <f>'QS Calculations'!AE35</f>
        <v>8.7566271199885429E-2</v>
      </c>
      <c r="H24" s="9" t="s">
        <v>6</v>
      </c>
      <c r="I24" s="8">
        <f t="shared" ref="I24:J28" si="0">I8</f>
        <v>16.201999999999998</v>
      </c>
      <c r="J24" s="8">
        <f t="shared" si="0"/>
        <v>2733.6508234025468</v>
      </c>
      <c r="K24" s="15">
        <f t="shared" ref="K24:K26" si="1">LOG(N8)</f>
        <v>3.3979400086720375</v>
      </c>
      <c r="N24" s="9" t="s">
        <v>6</v>
      </c>
      <c r="O24" s="8">
        <f t="array" ref="O24:Q24">_xlfn.ANCHORARRAY('QS Calculations'!AA7)</f>
        <v>16.265000000000001</v>
      </c>
      <c r="P24" s="8">
        <v>16.202000000000002</v>
      </c>
      <c r="Q24" s="8">
        <v>16.138999999999999</v>
      </c>
      <c r="R24" s="8">
        <f>'QS Calculations'!AE7</f>
        <v>2.9698484809835286E-2</v>
      </c>
      <c r="S24" s="8">
        <f>I24-I23</f>
        <v>3.0736666666666661</v>
      </c>
    </row>
    <row r="25" spans="2:19">
      <c r="B25" s="9">
        <v>19</v>
      </c>
      <c r="C25" s="9" t="str">
        <f>IF(ISBLANK('Sample List'!C24)=TRUE,"",'Sample List'!C24)</f>
        <v>PD005561RME1_D_Hu_01</v>
      </c>
      <c r="D25" s="8">
        <f>'QS Calculations'!AD36</f>
        <v>18.982666666666663</v>
      </c>
      <c r="E25" s="12">
        <f>'QS Calculations'!AF36/100</f>
        <v>4.6436942581648371</v>
      </c>
      <c r="F25" s="12">
        <f>'QS Calculations'!AE36</f>
        <v>5.1925873091324204E-3</v>
      </c>
      <c r="H25" s="9" t="s">
        <v>7</v>
      </c>
      <c r="I25" s="8">
        <f t="shared" si="0"/>
        <v>19.678666666666668</v>
      </c>
      <c r="J25" s="8">
        <f t="shared" si="0"/>
        <v>297.96348045300874</v>
      </c>
      <c r="K25" s="15">
        <f t="shared" si="1"/>
        <v>2.4948500216800942</v>
      </c>
      <c r="N25" s="9" t="s">
        <v>7</v>
      </c>
      <c r="O25" s="8">
        <f t="array" ref="O25:Q25">_xlfn.ANCHORARRAY('QS Calculations'!AA8)</f>
        <v>19.777000000000001</v>
      </c>
      <c r="P25" s="8">
        <v>19.597000000000001</v>
      </c>
      <c r="Q25" s="8">
        <v>19.661999999999999</v>
      </c>
      <c r="R25" s="8">
        <f>'QS Calculations'!AE8</f>
        <v>4.2968550083710047E-2</v>
      </c>
      <c r="S25" s="8">
        <f t="shared" ref="S25:S27" si="2">I25-I24</f>
        <v>3.4766666666666701</v>
      </c>
    </row>
    <row r="26" spans="2:19">
      <c r="B26" s="9">
        <v>20</v>
      </c>
      <c r="C26" s="9" t="str">
        <f>IF(ISBLANK('Sample List'!C25)=TRUE,"",'Sample List'!C25)</f>
        <v>PD005558RME1_D_Hu_01</v>
      </c>
      <c r="D26" s="8">
        <f>'QS Calculations'!AD37</f>
        <v>21.274333333333331</v>
      </c>
      <c r="E26" s="12">
        <f>'QS Calculations'!AF37/100</f>
        <v>1.0773900612378782</v>
      </c>
      <c r="F26" s="12">
        <f>'QS Calculations'!AE37</f>
        <v>0.26647256824977306</v>
      </c>
      <c r="H26" s="9" t="s">
        <v>8</v>
      </c>
      <c r="I26" s="8">
        <f t="shared" si="0"/>
        <v>22.935000000000002</v>
      </c>
      <c r="J26" s="8">
        <f t="shared" si="0"/>
        <v>37.375449904428919</v>
      </c>
      <c r="K26" s="15">
        <f t="shared" si="1"/>
        <v>1.5917322389518356</v>
      </c>
      <c r="N26" s="9" t="s">
        <v>8</v>
      </c>
      <c r="O26" s="8">
        <f t="array" ref="O26:Q26">_xlfn.ANCHORARRAY('QS Calculations'!AA9)</f>
        <v>22.983000000000001</v>
      </c>
      <c r="P26" s="8">
        <v>22.978999999999999</v>
      </c>
      <c r="Q26" s="8">
        <v>22.843</v>
      </c>
      <c r="R26" s="8">
        <f>'QS Calculations'!AE9</f>
        <v>3.7570674142947645E-2</v>
      </c>
      <c r="S26" s="8">
        <f t="shared" si="2"/>
        <v>3.256333333333334</v>
      </c>
    </row>
    <row r="27" spans="2:19">
      <c r="B27" s="9">
        <v>21</v>
      </c>
      <c r="C27" s="9" t="str">
        <f>IF(ISBLANK('Sample List'!C26)=TRUE,"",'Sample List'!C26)</f>
        <v>PD005557RME1_D_Hu_01</v>
      </c>
      <c r="D27" s="8">
        <f>'QS Calculations'!AD38</f>
        <v>19.47066666666667</v>
      </c>
      <c r="E27" s="12">
        <f>'QS Calculations'!AF38/100</f>
        <v>3.4021363678153427</v>
      </c>
      <c r="F27" s="12">
        <f>'QS Calculations'!AE38</f>
        <v>0.19983567323252477</v>
      </c>
      <c r="H27" s="9" t="s">
        <v>9</v>
      </c>
      <c r="I27" s="8">
        <f t="shared" si="0"/>
        <v>26.08666666666667</v>
      </c>
      <c r="J27" s="8">
        <f t="shared" si="0"/>
        <v>5.0117423752266186</v>
      </c>
      <c r="K27" s="15">
        <f>LOG(N11)</f>
        <v>0.68841982200271057</v>
      </c>
      <c r="N27" s="9" t="s">
        <v>9</v>
      </c>
      <c r="O27" s="8">
        <f t="array" ref="O27:Q27">_xlfn.ANCHORARRAY('QS Calculations'!AA10)</f>
        <v>26.128</v>
      </c>
      <c r="P27" s="8">
        <v>26.134</v>
      </c>
      <c r="Q27" s="8">
        <v>25.998000000000001</v>
      </c>
      <c r="R27" s="8">
        <f>'QS Calculations'!AE10</f>
        <v>3.6225630378176714E-2</v>
      </c>
      <c r="S27" s="8">
        <f t="shared" si="2"/>
        <v>3.1516666666666673</v>
      </c>
    </row>
    <row r="28" spans="2:19">
      <c r="B28" s="9">
        <v>22</v>
      </c>
      <c r="C28" s="9" t="str">
        <f>IF(ISBLANK('Sample List'!C27)=TRUE,"",'Sample List'!C27)</f>
        <v>PD005556RME1_D_Hu_01</v>
      </c>
      <c r="D28" s="8">
        <f>'QS Calculations'!AD39</f>
        <v>20.675666666666668</v>
      </c>
      <c r="E28" s="12">
        <f>'QS Calculations'!AF39/100</f>
        <v>1.5780653931337378</v>
      </c>
      <c r="F28" s="12">
        <f>'QS Calculations'!AE39</f>
        <v>0.10231795034578683</v>
      </c>
      <c r="H28" s="9" t="s">
        <v>10</v>
      </c>
      <c r="I28" s="8">
        <f>I12</f>
        <v>29.380333333333336</v>
      </c>
      <c r="J28" s="8">
        <f t="shared" si="0"/>
        <v>0.61386899583347709</v>
      </c>
      <c r="K28" s="15">
        <f>LOG(N12)</f>
        <v>-0.21467016498923297</v>
      </c>
      <c r="N28" s="9" t="s">
        <v>10</v>
      </c>
      <c r="O28" s="8">
        <f t="array" ref="O28:Q28">_xlfn.ANCHORARRAY('QS Calculations'!AA11)</f>
        <v>29.436</v>
      </c>
      <c r="P28" s="8">
        <v>29.219000000000001</v>
      </c>
      <c r="Q28" s="8">
        <v>29.486000000000001</v>
      </c>
      <c r="R28" s="8">
        <f>'QS Calculations'!AE11</f>
        <v>6.6910111066735917E-2</v>
      </c>
      <c r="S28" s="8">
        <f>I28-I27</f>
        <v>3.2936666666666667</v>
      </c>
    </row>
    <row r="29" spans="2:19">
      <c r="B29" s="9">
        <v>23</v>
      </c>
      <c r="C29" s="9" t="str">
        <f>IF(ISBLANK('Sample List'!C28)=TRUE,"",'Sample List'!C28)</f>
        <v>DEN078-POS_D_Hu_01</v>
      </c>
      <c r="D29" s="8">
        <f>'QS Calculations'!AD40</f>
        <v>29.803333333333331</v>
      </c>
      <c r="E29" s="12">
        <f>'QS Calculations'!AF40/100</f>
        <v>4.6877048657682887E-3</v>
      </c>
      <c r="F29" s="12">
        <f>'QS Calculations'!AE40</f>
        <v>0.14158337420704378</v>
      </c>
      <c r="H29" s="32" t="s">
        <v>236</v>
      </c>
      <c r="I29" s="2"/>
      <c r="J29" s="2"/>
      <c r="K29" s="17"/>
      <c r="N29" s="3"/>
      <c r="O29" s="2"/>
      <c r="P29" s="2"/>
      <c r="Q29" s="2"/>
      <c r="R29" s="2"/>
      <c r="S29" s="2"/>
    </row>
    <row r="30" spans="2:19">
      <c r="B30" s="9">
        <v>24</v>
      </c>
      <c r="C30" s="9" t="str">
        <f>IF(ISBLANK('Sample List'!C29)=TRUE,"",'Sample List'!C29)</f>
        <v>DEN078-NEG_D_Hu_01</v>
      </c>
      <c r="D30" s="8">
        <f>'QS Calculations'!AD41</f>
        <v>29.737666666666669</v>
      </c>
      <c r="E30" s="12">
        <f>'QS Calculations'!AF41/100</f>
        <v>4.8881137340614925E-3</v>
      </c>
      <c r="F30" s="12">
        <f>'QS Calculations'!AE41</f>
        <v>0.22679228545243996</v>
      </c>
    </row>
    <row r="31" spans="2:19">
      <c r="B31" s="9" t="str">
        <f>'[1]Sample List'!B30</f>
        <v>NEG Control</v>
      </c>
      <c r="C31" s="9" t="str">
        <f>'[1]Sample List'!C30</f>
        <v>NF-Water</v>
      </c>
      <c r="D31" s="8">
        <f>'QS Calculations'!AD13</f>
        <v>35.290999999999997</v>
      </c>
      <c r="E31" s="12">
        <f>'QS Calculations'!AF13</f>
        <v>1.4177426585484511E-2</v>
      </c>
      <c r="F31" s="78">
        <f>'QS Calculations'!AE13</f>
        <v>0.14011661809602133</v>
      </c>
      <c r="H31" s="10" t="s">
        <v>178</v>
      </c>
    </row>
    <row r="32" spans="2:19">
      <c r="B32" s="32" t="s">
        <v>223</v>
      </c>
      <c r="E32" s="4"/>
      <c r="F32" s="4"/>
    </row>
    <row r="33" spans="2:19">
      <c r="B33" s="32" t="s">
        <v>389</v>
      </c>
      <c r="C33" s="3"/>
      <c r="D33" s="3"/>
      <c r="E33" s="4"/>
      <c r="F33" s="4"/>
      <c r="G33" s="2"/>
      <c r="H33" s="2"/>
      <c r="I33" s="2"/>
      <c r="R33" s="10" t="s">
        <v>396</v>
      </c>
    </row>
    <row r="34" spans="2:19">
      <c r="B34" s="10" t="s">
        <v>224</v>
      </c>
      <c r="C34" s="2"/>
      <c r="D34" s="3"/>
      <c r="E34" s="4"/>
      <c r="F34" s="4"/>
      <c r="G34" s="2"/>
      <c r="H34" s="2"/>
      <c r="I34" s="2"/>
      <c r="R34" s="15">
        <f>INTERCEPT(I23:I28,K23:K28)</f>
        <v>28.614900693394915</v>
      </c>
      <c r="S34" s="93" t="s">
        <v>180</v>
      </c>
    </row>
    <row r="35" spans="2:19">
      <c r="B35" s="81" t="s">
        <v>283</v>
      </c>
      <c r="C35" s="16" t="s">
        <v>305</v>
      </c>
      <c r="E35" s="4"/>
      <c r="F35" s="4"/>
      <c r="G35" s="2"/>
      <c r="H35" s="2"/>
      <c r="I35" s="2"/>
      <c r="R35" s="15">
        <f>SLOPE(I23:I28,K23:K28)</f>
        <v>-3.6118210027095023</v>
      </c>
      <c r="S35" s="93" t="s">
        <v>182</v>
      </c>
    </row>
    <row r="36" spans="2:19">
      <c r="B36" s="29" t="s">
        <v>283</v>
      </c>
      <c r="C36" s="16" t="s">
        <v>239</v>
      </c>
      <c r="E36" s="4"/>
      <c r="F36" s="4"/>
      <c r="G36" s="2"/>
      <c r="H36" s="2"/>
      <c r="I36" s="2"/>
      <c r="R36" s="94"/>
      <c r="S36" s="94"/>
    </row>
    <row r="37" spans="2:19">
      <c r="B37" s="80" t="s">
        <v>283</v>
      </c>
      <c r="C37" s="79" t="s">
        <v>306</v>
      </c>
      <c r="E37" s="4"/>
      <c r="F37" s="4"/>
      <c r="H37" s="2"/>
      <c r="I37" s="2"/>
      <c r="R37" s="8">
        <f>10^(-1/R35)</f>
        <v>1.8917713700625285</v>
      </c>
      <c r="S37" s="93" t="s">
        <v>183</v>
      </c>
    </row>
    <row r="38" spans="2:19">
      <c r="E38" s="4"/>
      <c r="F38" s="4"/>
      <c r="G38" s="2"/>
      <c r="H38" s="2"/>
      <c r="I38" s="2"/>
      <c r="R38" s="8">
        <f>(R37-1)*100</f>
        <v>89.177137006252849</v>
      </c>
      <c r="S38" s="93" t="s">
        <v>184</v>
      </c>
    </row>
    <row r="39" spans="2:19">
      <c r="E39" s="4"/>
      <c r="F39" s="4"/>
      <c r="G39" s="2"/>
      <c r="H39" s="2"/>
      <c r="I39" s="2"/>
      <c r="R39" s="14">
        <f>RSQ(I23:I28,K23:K28)</f>
        <v>0.99981662334119403</v>
      </c>
      <c r="S39" s="93" t="s">
        <v>185</v>
      </c>
    </row>
    <row r="40" spans="2:19">
      <c r="E40" s="4"/>
      <c r="F40" s="4"/>
      <c r="G40" s="2"/>
      <c r="H40" s="2"/>
      <c r="I40" s="2"/>
    </row>
    <row r="41" spans="2:19">
      <c r="E41" s="4"/>
      <c r="F41" s="4"/>
      <c r="G41" s="2"/>
      <c r="H41" s="2"/>
      <c r="I41" s="2"/>
    </row>
    <row r="42" spans="2:19">
      <c r="E42" s="4"/>
      <c r="F42" s="4"/>
      <c r="G42" s="2"/>
      <c r="H42" s="2"/>
      <c r="I42" s="2"/>
    </row>
    <row r="43" spans="2:19">
      <c r="E43" s="4"/>
      <c r="F43" s="4"/>
      <c r="G43" s="2"/>
      <c r="H43" s="2"/>
      <c r="I43" s="2"/>
    </row>
    <row r="44" spans="2:19">
      <c r="E44" s="4"/>
      <c r="F44" s="4"/>
      <c r="G44" s="2"/>
      <c r="H44" s="2"/>
      <c r="I44" s="2"/>
    </row>
    <row r="45" spans="2:19">
      <c r="E45" s="4"/>
      <c r="F45" s="4"/>
    </row>
    <row r="46" spans="2:19">
      <c r="E46" s="4"/>
      <c r="F46" s="4"/>
    </row>
    <row r="47" spans="2:19">
      <c r="E47" s="4"/>
      <c r="F47" s="4"/>
    </row>
    <row r="48" spans="2:19">
      <c r="E48" s="4"/>
      <c r="F48" s="4"/>
    </row>
    <row r="49" spans="5:16">
      <c r="E49" s="4"/>
      <c r="F49" s="4"/>
    </row>
    <row r="50" spans="5:16">
      <c r="E50" s="4"/>
      <c r="F50" s="4"/>
    </row>
    <row r="51" spans="5:16">
      <c r="E51" s="4"/>
      <c r="F51" s="4"/>
    </row>
    <row r="52" spans="5:16">
      <c r="E52" s="4"/>
      <c r="F52" s="4"/>
    </row>
    <row r="53" spans="5:16">
      <c r="E53" s="4"/>
      <c r="F53" s="4"/>
    </row>
    <row r="54" spans="5:16">
      <c r="E54" s="4"/>
      <c r="F54" s="4"/>
    </row>
    <row r="55" spans="5:16">
      <c r="E55" s="4"/>
      <c r="F55" s="4"/>
      <c r="H55" s="10" t="s">
        <v>114</v>
      </c>
    </row>
    <row r="56" spans="5:16">
      <c r="E56" s="4"/>
      <c r="F56" s="4"/>
    </row>
    <row r="57" spans="5:16">
      <c r="E57" s="4"/>
      <c r="F57" s="4"/>
      <c r="H57" s="37" t="s">
        <v>186</v>
      </c>
      <c r="I57" s="37" t="s">
        <v>187</v>
      </c>
      <c r="J57" s="37" t="s">
        <v>113</v>
      </c>
      <c r="K57" s="37" t="s">
        <v>188</v>
      </c>
    </row>
    <row r="58" spans="5:16">
      <c r="E58" s="4"/>
      <c r="F58" s="4"/>
      <c r="H58" s="9" t="s">
        <v>111</v>
      </c>
      <c r="I58" s="9" t="s">
        <v>115</v>
      </c>
      <c r="J58" s="8">
        <f>R38</f>
        <v>89.177137006252849</v>
      </c>
      <c r="K58" s="9" t="str">
        <f>IF(J58&lt;115,IF(J58&gt;85,"PASS","FAIL"),"FAIL")</f>
        <v>PASS</v>
      </c>
    </row>
    <row r="59" spans="5:16">
      <c r="E59" s="4"/>
      <c r="F59" s="4"/>
      <c r="H59" s="9" t="s">
        <v>112</v>
      </c>
      <c r="I59" s="9" t="s">
        <v>116</v>
      </c>
      <c r="J59" s="14">
        <f>R39</f>
        <v>0.99981662334119403</v>
      </c>
      <c r="K59" s="9" t="str">
        <f>IF(J59&gt;=0.98,"PASS","FAIL")</f>
        <v>PASS</v>
      </c>
    </row>
    <row r="60" spans="5:16">
      <c r="E60" s="4"/>
      <c r="F60" s="4"/>
      <c r="H60" s="92" t="s">
        <v>19</v>
      </c>
      <c r="I60" s="92" t="s">
        <v>390</v>
      </c>
      <c r="J60" s="90">
        <f>I13</f>
        <v>0</v>
      </c>
      <c r="K60" s="9" t="str">
        <f>IF(J60&lt;35.5,IF(J60&gt;0.01,"FAIL","PASS"),"PASS")</f>
        <v>PASS</v>
      </c>
    </row>
    <row r="61" spans="5:16">
      <c r="E61" s="4"/>
      <c r="F61" s="4"/>
      <c r="H61" s="9" t="s">
        <v>395</v>
      </c>
      <c r="I61" s="9" t="s">
        <v>398</v>
      </c>
      <c r="J61" s="8">
        <f>R34</f>
        <v>28.614900693394915</v>
      </c>
      <c r="K61" s="9" t="str">
        <f>IF(OR(J61&lt;28-(28*0.025),J61&gt;28+(28*0.025)),"FAIL","PASS")</f>
        <v>PASS</v>
      </c>
      <c r="L61" s="3"/>
    </row>
    <row r="62" spans="5:16">
      <c r="E62" s="4"/>
      <c r="F62" s="4"/>
    </row>
    <row r="63" spans="5:16">
      <c r="E63" s="4"/>
      <c r="F63" s="4"/>
      <c r="H63" s="96"/>
      <c r="I63" s="11" t="s">
        <v>189</v>
      </c>
      <c r="J63" s="5" t="str">
        <f>IF(K58="PASS",IF(K59="PASS",IF(K60="PASS","TRUE"),"FALSE"),"FALSE")</f>
        <v>TRUE</v>
      </c>
      <c r="P63" s="11"/>
    </row>
    <row r="64" spans="5:16">
      <c r="E64" s="4"/>
      <c r="F64" s="4"/>
    </row>
  </sheetData>
  <sheetProtection algorithmName="SHA-512" hashValue="EpTlb3MnGwsuYFNLRlmDxqE4a0BWWARJHuJz6Z5nn2R4YviUM2Ph5OKeiIszL1Y+bq1VNXji9D+M66/bXnOhrg==" saltValue="SPPNQQGgODRqCERXIYxfEw==" spinCount="100000" sheet="1" objects="1" scenarios="1"/>
  <mergeCells count="6">
    <mergeCell ref="H21:K21"/>
    <mergeCell ref="N21:S21"/>
    <mergeCell ref="Q4:S4"/>
    <mergeCell ref="H5:J5"/>
    <mergeCell ref="L5:N5"/>
    <mergeCell ref="Q6:S6"/>
  </mergeCells>
  <conditionalFormatting sqref="E7:E30">
    <cfRule type="cellIs" dxfId="8" priority="1" operator="equal">
      <formula>0</formula>
    </cfRule>
    <cfRule type="containsBlanks" dxfId="7" priority="5">
      <formula>LEN(TRIM(E7))=0</formula>
    </cfRule>
    <cfRule type="expression" dxfId="6" priority="7">
      <formula>D7&gt;$I$12</formula>
    </cfRule>
    <cfRule type="expression" dxfId="5" priority="8">
      <formula>D7&lt;$I$7</formula>
    </cfRule>
  </conditionalFormatting>
  <conditionalFormatting sqref="F7:F31">
    <cfRule type="cellIs" dxfId="4" priority="2" operator="equal">
      <formula>0</formula>
    </cfRule>
    <cfRule type="containsBlanks" dxfId="3" priority="3">
      <formula>LEN(TRIM(F7))=0</formula>
    </cfRule>
    <cfRule type="cellIs" dxfId="2" priority="4" operator="greaterThan">
      <formula>1</formula>
    </cfRule>
  </conditionalFormatting>
  <conditionalFormatting sqref="Q6:S6">
    <cfRule type="cellIs" dxfId="1" priority="9" operator="equal">
      <formula>"FAILED"</formula>
    </cfRule>
    <cfRule type="cellIs" dxfId="0" priority="10" operator="equal">
      <formula>"PASSED"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1A81-6BAD-4238-8051-4CDCDB1E2493}">
  <sheetPr codeName="Sheet13"/>
  <dimension ref="A1:X30"/>
  <sheetViews>
    <sheetView zoomScaleNormal="100" workbookViewId="0">
      <selection activeCell="D7" sqref="D7"/>
    </sheetView>
  </sheetViews>
  <sheetFormatPr defaultRowHeight="14.5"/>
  <cols>
    <col min="1" max="1" width="9.54296875" style="3" customWidth="1"/>
    <col min="2" max="2" width="9.1796875" style="3" bestFit="1" customWidth="1"/>
    <col min="3" max="3" width="26.54296875" style="3" bestFit="1" customWidth="1"/>
    <col min="4" max="4" width="15.81640625" style="3" bestFit="1" customWidth="1"/>
    <col min="5" max="5" width="14.1796875" style="3" bestFit="1" customWidth="1"/>
    <col min="6" max="6" width="11" style="3" bestFit="1" customWidth="1"/>
    <col min="7" max="7" width="21.54296875" style="3" bestFit="1" customWidth="1"/>
    <col min="8" max="8" width="17.26953125" bestFit="1" customWidth="1"/>
    <col min="9" max="9" width="12.453125" bestFit="1" customWidth="1"/>
    <col min="10" max="10" width="22.81640625" bestFit="1" customWidth="1"/>
    <col min="11" max="11" width="12.1796875" bestFit="1" customWidth="1"/>
    <col min="12" max="12" width="10.453125" bestFit="1" customWidth="1"/>
    <col min="13" max="13" width="7.26953125" bestFit="1" customWidth="1"/>
    <col min="14" max="14" width="17.7265625" bestFit="1" customWidth="1"/>
    <col min="15" max="15" width="13.453125" bestFit="1" customWidth="1"/>
    <col min="16" max="16" width="8.7265625" bestFit="1" customWidth="1"/>
    <col min="17" max="17" width="19.81640625" bestFit="1" customWidth="1"/>
    <col min="18" max="18" width="22.1796875" bestFit="1" customWidth="1"/>
    <col min="19" max="19" width="12" bestFit="1" customWidth="1"/>
    <col min="20" max="20" width="18.81640625" bestFit="1" customWidth="1"/>
    <col min="21" max="21" width="18.26953125" bestFit="1" customWidth="1"/>
    <col min="22" max="22" width="30.1796875" bestFit="1" customWidth="1"/>
    <col min="23" max="23" width="11.453125" bestFit="1" customWidth="1"/>
    <col min="24" max="24" width="7.54296875" bestFit="1" customWidth="1"/>
    <col min="25" max="25" width="9" bestFit="1" customWidth="1"/>
    <col min="26" max="26" width="20" bestFit="1" customWidth="1"/>
    <col min="27" max="27" width="22.7265625" bestFit="1" customWidth="1"/>
    <col min="28" max="28" width="11.453125" bestFit="1" customWidth="1"/>
    <col min="29" max="29" width="19.1796875" bestFit="1" customWidth="1"/>
    <col min="30" max="30" width="18.54296875" bestFit="1" customWidth="1"/>
    <col min="31" max="31" width="30.54296875" bestFit="1" customWidth="1"/>
    <col min="32" max="32" width="11.81640625" bestFit="1" customWidth="1"/>
    <col min="34" max="34" width="10.1796875" bestFit="1" customWidth="1"/>
  </cols>
  <sheetData>
    <row r="1" spans="1:24">
      <c r="A1" s="95" t="s">
        <v>2</v>
      </c>
      <c r="B1" s="95" t="s">
        <v>385</v>
      </c>
      <c r="C1" s="95" t="s">
        <v>391</v>
      </c>
      <c r="D1" s="95" t="s">
        <v>365</v>
      </c>
      <c r="E1" s="95" t="s">
        <v>366</v>
      </c>
      <c r="F1" s="95" t="s">
        <v>369</v>
      </c>
      <c r="G1" s="95" t="s">
        <v>370</v>
      </c>
      <c r="H1" s="95" t="s">
        <v>371</v>
      </c>
      <c r="I1" s="95" t="s">
        <v>372</v>
      </c>
      <c r="J1" s="95" t="s">
        <v>392</v>
      </c>
      <c r="K1" s="95" t="s">
        <v>367</v>
      </c>
      <c r="L1" s="95" t="s">
        <v>368</v>
      </c>
      <c r="M1" s="95" t="s">
        <v>373</v>
      </c>
      <c r="N1" s="95" t="s">
        <v>374</v>
      </c>
      <c r="O1" s="95" t="s">
        <v>375</v>
      </c>
      <c r="P1" s="95" t="s">
        <v>376</v>
      </c>
      <c r="Q1" s="95" t="s">
        <v>377</v>
      </c>
      <c r="R1" s="95" t="s">
        <v>378</v>
      </c>
      <c r="S1" s="95" t="s">
        <v>379</v>
      </c>
      <c r="T1" s="95" t="s">
        <v>380</v>
      </c>
      <c r="U1" s="95" t="s">
        <v>381</v>
      </c>
      <c r="V1" s="95" t="s">
        <v>382</v>
      </c>
      <c r="W1" s="95" t="s">
        <v>383</v>
      </c>
      <c r="X1" s="95" t="s">
        <v>384</v>
      </c>
    </row>
    <row r="2" spans="1:24">
      <c r="A2" s="9" t="str">
        <f>'Sample List'!C6</f>
        <v>PD005745RME2_D_Hu_01</v>
      </c>
      <c r="B2" s="9" t="str">
        <f>'Experiment Overview'!$B$13</f>
        <v>DEN078</v>
      </c>
      <c r="C2" s="8">
        <f>'QS RNase P Analysis'!E7</f>
        <v>1.1307962390566899</v>
      </c>
      <c r="D2" s="8">
        <f>'QS RNase P Analysis'!D7</f>
        <v>32.740666666666669</v>
      </c>
      <c r="E2" s="8">
        <f>'QS RNase P Analysis'!F7</f>
        <v>0.14231134360450237</v>
      </c>
      <c r="F2" s="14">
        <f>'QS RNase P Analysis'!$R$39</f>
        <v>0.99950836248992281</v>
      </c>
      <c r="G2" s="8">
        <f>'QS RNase P Analysis'!$R$38</f>
        <v>92.967406287950553</v>
      </c>
      <c r="H2" s="8">
        <f>'QS RNase P Analysis'!$R$34</f>
        <v>39.933310202038875</v>
      </c>
      <c r="I2" s="15">
        <f>'QS RNase P Analysis'!$R$35</f>
        <v>-3.5028237731018188</v>
      </c>
      <c r="J2" s="8">
        <f>'QS 16S Analysis'!E7</f>
        <v>1.3521675004042371</v>
      </c>
      <c r="K2" s="8">
        <f>'QS 16S Analysis'!D7</f>
        <v>20.918000000000003</v>
      </c>
      <c r="L2" s="8">
        <f>'QS 16S Analysis'!F7</f>
        <v>3.6986484017813341E-2</v>
      </c>
      <c r="M2" s="14">
        <f>'QS 16S Analysis'!$R$39</f>
        <v>0.99981662334119403</v>
      </c>
      <c r="N2" s="8">
        <f>'QS 16S Analysis'!$R$38</f>
        <v>89.177137006252849</v>
      </c>
      <c r="O2" s="8">
        <f>'QS 16S Analysis'!$R$34</f>
        <v>28.614900693394915</v>
      </c>
      <c r="P2" s="15">
        <f>'QS 16S Analysis'!$R$35</f>
        <v>-3.6118210027095023</v>
      </c>
      <c r="Q2" s="9" t="str">
        <f>'Experiment Overview'!$O$6&amp;" (Verified)"</f>
        <v>4444554 (Verified)</v>
      </c>
      <c r="R2" s="9" t="str">
        <f>'Experiment Overview'!$O$7&amp;" (Verified)"</f>
        <v>3245729 (Verified)</v>
      </c>
      <c r="S2" s="9" t="str">
        <f>'Experiment Overview'!$O$8&amp;" (Verified)"</f>
        <v>0000636473 (Verified)</v>
      </c>
      <c r="T2" s="9" t="str">
        <f>'Experiment Overview'!$O$9&amp;" (Verified)"</f>
        <v>3106717 (Verified)</v>
      </c>
      <c r="U2" s="9" t="str">
        <f>'Experiment Overview'!$O$10&amp;" (Verified)"</f>
        <v>P250904-011-F09 (Verified)</v>
      </c>
      <c r="V2" s="9" t="str">
        <f>'Experiment Overview'!$O$11&amp;" (Verified)"</f>
        <v>24027229 (Verified)</v>
      </c>
      <c r="W2" s="9" t="str">
        <f>'Experiment Overview'!$O$12</f>
        <v>N/A</v>
      </c>
      <c r="X2" s="9" t="str">
        <f>'Experiment Overview'!$B$21</f>
        <v>00131</v>
      </c>
    </row>
    <row r="3" spans="1:24">
      <c r="A3" s="9" t="str">
        <f>'Sample List'!C7</f>
        <v>PD005599RME1_D_Hu_01</v>
      </c>
      <c r="B3" s="9" t="str">
        <f>'Experiment Overview'!$B$13</f>
        <v>DEN078</v>
      </c>
      <c r="C3" s="8">
        <f>'QS RNase P Analysis'!E8</f>
        <v>2.0798307064184183</v>
      </c>
      <c r="D3" s="8">
        <f>'QS RNase P Analysis'!D8</f>
        <v>31.813666666666666</v>
      </c>
      <c r="E3" s="8">
        <f>'QS RNase P Analysis'!F8</f>
        <v>5.3144108763777669E-2</v>
      </c>
      <c r="F3" s="14">
        <f>'QS RNase P Analysis'!$R$39</f>
        <v>0.99950836248992281</v>
      </c>
      <c r="G3" s="8">
        <f>'QS RNase P Analysis'!$R$38</f>
        <v>92.967406287950553</v>
      </c>
      <c r="H3" s="8">
        <f>'QS RNase P Analysis'!$R$34</f>
        <v>39.933310202038875</v>
      </c>
      <c r="I3" s="15">
        <f>'QS RNase P Analysis'!$R$35</f>
        <v>-3.5028237731018188</v>
      </c>
      <c r="J3" s="8">
        <f>'QS 16S Analysis'!E8</f>
        <v>4.7464558063471536</v>
      </c>
      <c r="K3" s="8">
        <f>'QS 16S Analysis'!D8</f>
        <v>18.948333333333334</v>
      </c>
      <c r="L3" s="8">
        <f>'QS 16S Analysis'!F8</f>
        <v>6.933386751930927E-2</v>
      </c>
      <c r="M3" s="14">
        <f>'QS 16S Analysis'!$R$39</f>
        <v>0.99981662334119403</v>
      </c>
      <c r="N3" s="8">
        <f>'QS 16S Analysis'!$R$38</f>
        <v>89.177137006252849</v>
      </c>
      <c r="O3" s="8">
        <f>'QS 16S Analysis'!$R$34</f>
        <v>28.614900693394915</v>
      </c>
      <c r="P3" s="15">
        <f>'QS 16S Analysis'!$R$35</f>
        <v>-3.6118210027095023</v>
      </c>
      <c r="Q3" s="9" t="str">
        <f>'Experiment Overview'!$O$6&amp;" (Verified)"</f>
        <v>4444554 (Verified)</v>
      </c>
      <c r="R3" s="9" t="str">
        <f>'Experiment Overview'!$O$7&amp;" (Verified)"</f>
        <v>3245729 (Verified)</v>
      </c>
      <c r="S3" s="9" t="str">
        <f>'Experiment Overview'!$O$8&amp;" (Verified)"</f>
        <v>0000636473 (Verified)</v>
      </c>
      <c r="T3" s="9" t="str">
        <f>'Experiment Overview'!$O$9&amp;" (Verified)"</f>
        <v>3106717 (Verified)</v>
      </c>
      <c r="U3" s="9" t="str">
        <f>'Experiment Overview'!$O$10&amp;" (Verified)"</f>
        <v>P250904-011-F09 (Verified)</v>
      </c>
      <c r="V3" s="9" t="str">
        <f>'Experiment Overview'!$O$11&amp;" (Verified)"</f>
        <v>24027229 (Verified)</v>
      </c>
      <c r="W3" s="9" t="str">
        <f>'Experiment Overview'!$O$12</f>
        <v>N/A</v>
      </c>
      <c r="X3" s="9" t="str">
        <f>'Experiment Overview'!$B$21</f>
        <v>00131</v>
      </c>
    </row>
    <row r="4" spans="1:24">
      <c r="A4" s="9" t="str">
        <f>'Sample List'!C8</f>
        <v>PD005595RME1_D_Hu_01</v>
      </c>
      <c r="B4" s="9" t="str">
        <f>'Experiment Overview'!$B$13</f>
        <v>DEN078</v>
      </c>
      <c r="C4" s="8">
        <f>'QS RNase P Analysis'!E9</f>
        <v>6.1515046633063912</v>
      </c>
      <c r="D4" s="8">
        <f>'QS RNase P Analysis'!D9</f>
        <v>30.164000000000001</v>
      </c>
      <c r="E4" s="8">
        <f>'QS RNase P Analysis'!F9</f>
        <v>0.14329224217195619</v>
      </c>
      <c r="F4" s="14">
        <f>'QS RNase P Analysis'!$R$39</f>
        <v>0.99950836248992281</v>
      </c>
      <c r="G4" s="8">
        <f>'QS RNase P Analysis'!$R$38</f>
        <v>92.967406287950553</v>
      </c>
      <c r="H4" s="8">
        <f>'QS RNase P Analysis'!$R$34</f>
        <v>39.933310202038875</v>
      </c>
      <c r="I4" s="15">
        <f>'QS RNase P Analysis'!$R$35</f>
        <v>-3.5028237731018188</v>
      </c>
      <c r="J4" s="8">
        <f>'QS 16S Analysis'!E9</f>
        <v>5.7455408751555782E-2</v>
      </c>
      <c r="K4" s="8">
        <f>'QS 16S Analysis'!D9</f>
        <v>25.87233333333333</v>
      </c>
      <c r="L4" s="8">
        <f>'QS 16S Analysis'!F9</f>
        <v>0.19932237056438826</v>
      </c>
      <c r="M4" s="14">
        <f>'QS 16S Analysis'!$R$39</f>
        <v>0.99981662334119403</v>
      </c>
      <c r="N4" s="8">
        <f>'QS 16S Analysis'!$R$38</f>
        <v>89.177137006252849</v>
      </c>
      <c r="O4" s="8">
        <f>'QS 16S Analysis'!$R$34</f>
        <v>28.614900693394915</v>
      </c>
      <c r="P4" s="15">
        <f>'QS 16S Analysis'!$R$35</f>
        <v>-3.6118210027095023</v>
      </c>
      <c r="Q4" s="9" t="str">
        <f>'Experiment Overview'!$O$6&amp;" (Verified)"</f>
        <v>4444554 (Verified)</v>
      </c>
      <c r="R4" s="9" t="str">
        <f>'Experiment Overview'!$O$7&amp;" (Verified)"</f>
        <v>3245729 (Verified)</v>
      </c>
      <c r="S4" s="9" t="str">
        <f>'Experiment Overview'!$O$8&amp;" (Verified)"</f>
        <v>0000636473 (Verified)</v>
      </c>
      <c r="T4" s="9" t="str">
        <f>'Experiment Overview'!$O$9&amp;" (Verified)"</f>
        <v>3106717 (Verified)</v>
      </c>
      <c r="U4" s="9" t="str">
        <f>'Experiment Overview'!$O$10&amp;" (Verified)"</f>
        <v>P250904-011-F09 (Verified)</v>
      </c>
      <c r="V4" s="9" t="str">
        <f>'Experiment Overview'!$O$11&amp;" (Verified)"</f>
        <v>24027229 (Verified)</v>
      </c>
      <c r="W4" s="9" t="str">
        <f>'Experiment Overview'!$O$12</f>
        <v>N/A</v>
      </c>
      <c r="X4" s="9" t="str">
        <f>'Experiment Overview'!$B$21</f>
        <v>00131</v>
      </c>
    </row>
    <row r="5" spans="1:24">
      <c r="A5" s="9" t="str">
        <f>'Sample List'!C9</f>
        <v>PD005590RME1_D_Hu_01</v>
      </c>
      <c r="B5" s="9" t="str">
        <f>'Experiment Overview'!$B$13</f>
        <v>DEN078</v>
      </c>
      <c r="C5" s="8">
        <f>'QS RNase P Analysis'!E10</f>
        <v>7.5899875458213009</v>
      </c>
      <c r="D5" s="8">
        <f>'QS RNase P Analysis'!D10</f>
        <v>29.844333333333335</v>
      </c>
      <c r="E5" s="8">
        <f>'QS RNase P Analysis'!F10</f>
        <v>6.2005973427894483E-2</v>
      </c>
      <c r="F5" s="14">
        <f>'QS RNase P Analysis'!$R$39</f>
        <v>0.99950836248992281</v>
      </c>
      <c r="G5" s="8">
        <f>'QS RNase P Analysis'!$R$38</f>
        <v>92.967406287950553</v>
      </c>
      <c r="H5" s="8">
        <f>'QS RNase P Analysis'!$R$34</f>
        <v>39.933310202038875</v>
      </c>
      <c r="I5" s="15">
        <f>'QS RNase P Analysis'!$R$35</f>
        <v>-3.5028237731018188</v>
      </c>
      <c r="J5" s="8">
        <f>'QS 16S Analysis'!E10</f>
        <v>4.4053032516599133</v>
      </c>
      <c r="K5" s="8">
        <f>'QS 16S Analysis'!D10</f>
        <v>19.065333333333331</v>
      </c>
      <c r="L5" s="8">
        <f>'QS 16S Analysis'!F10</f>
        <v>4.0205951282347455E-2</v>
      </c>
      <c r="M5" s="14">
        <f>'QS 16S Analysis'!$R$39</f>
        <v>0.99981662334119403</v>
      </c>
      <c r="N5" s="8">
        <f>'QS 16S Analysis'!$R$38</f>
        <v>89.177137006252849</v>
      </c>
      <c r="O5" s="8">
        <f>'QS 16S Analysis'!$R$34</f>
        <v>28.614900693394915</v>
      </c>
      <c r="P5" s="15">
        <f>'QS 16S Analysis'!$R$35</f>
        <v>-3.6118210027095023</v>
      </c>
      <c r="Q5" s="9" t="str">
        <f>'Experiment Overview'!$O$6&amp;" (Verified)"</f>
        <v>4444554 (Verified)</v>
      </c>
      <c r="R5" s="9" t="str">
        <f>'Experiment Overview'!$O$7&amp;" (Verified)"</f>
        <v>3245729 (Verified)</v>
      </c>
      <c r="S5" s="9" t="str">
        <f>'Experiment Overview'!$O$8&amp;" (Verified)"</f>
        <v>0000636473 (Verified)</v>
      </c>
      <c r="T5" s="9" t="str">
        <f>'Experiment Overview'!$O$9&amp;" (Verified)"</f>
        <v>3106717 (Verified)</v>
      </c>
      <c r="U5" s="9" t="str">
        <f>'Experiment Overview'!$O$10&amp;" (Verified)"</f>
        <v>P250904-011-F09 (Verified)</v>
      </c>
      <c r="V5" s="9" t="str">
        <f>'Experiment Overview'!$O$11&amp;" (Verified)"</f>
        <v>24027229 (Verified)</v>
      </c>
      <c r="W5" s="9" t="str">
        <f>'Experiment Overview'!$O$12</f>
        <v>N/A</v>
      </c>
      <c r="X5" s="9" t="str">
        <f>'Experiment Overview'!$B$21</f>
        <v>00131</v>
      </c>
    </row>
    <row r="6" spans="1:24">
      <c r="A6" s="9" t="str">
        <f>'Sample List'!C10</f>
        <v>PD005585RME1_D_Hu_01</v>
      </c>
      <c r="B6" s="9" t="str">
        <f>'Experiment Overview'!$B$13</f>
        <v>DEN078</v>
      </c>
      <c r="C6" s="8">
        <f>'QS RNase P Analysis'!E11</f>
        <v>18.670836036648119</v>
      </c>
      <c r="D6" s="8">
        <f>'QS RNase P Analysis'!D11</f>
        <v>28.474999999999998</v>
      </c>
      <c r="E6" s="8">
        <f>'QS RNase P Analysis'!F11</f>
        <v>0.13690954028928023</v>
      </c>
      <c r="F6" s="14">
        <f>'QS RNase P Analysis'!$R$39</f>
        <v>0.99950836248992281</v>
      </c>
      <c r="G6" s="8">
        <f>'QS RNase P Analysis'!$R$38</f>
        <v>92.967406287950553</v>
      </c>
      <c r="H6" s="8">
        <f>'QS RNase P Analysis'!$R$34</f>
        <v>39.933310202038875</v>
      </c>
      <c r="I6" s="15">
        <f>'QS RNase P Analysis'!$R$35</f>
        <v>-3.5028237731018188</v>
      </c>
      <c r="J6" s="8">
        <f>'QS 16S Analysis'!E11</f>
        <v>1.2533810497823059</v>
      </c>
      <c r="K6" s="8">
        <f>'QS 16S Analysis'!D11</f>
        <v>21.037000000000003</v>
      </c>
      <c r="L6" s="8">
        <f>'QS 16S Analysis'!F11</f>
        <v>0.13433870956983632</v>
      </c>
      <c r="M6" s="14">
        <f>'QS 16S Analysis'!$R$39</f>
        <v>0.99981662334119403</v>
      </c>
      <c r="N6" s="8">
        <f>'QS 16S Analysis'!$R$38</f>
        <v>89.177137006252849</v>
      </c>
      <c r="O6" s="8">
        <f>'QS 16S Analysis'!$R$34</f>
        <v>28.614900693394915</v>
      </c>
      <c r="P6" s="15">
        <f>'QS 16S Analysis'!$R$35</f>
        <v>-3.6118210027095023</v>
      </c>
      <c r="Q6" s="9" t="str">
        <f>'Experiment Overview'!$O$6&amp;" (Verified)"</f>
        <v>4444554 (Verified)</v>
      </c>
      <c r="R6" s="9" t="str">
        <f>'Experiment Overview'!$O$7&amp;" (Verified)"</f>
        <v>3245729 (Verified)</v>
      </c>
      <c r="S6" s="9" t="str">
        <f>'Experiment Overview'!$O$8&amp;" (Verified)"</f>
        <v>0000636473 (Verified)</v>
      </c>
      <c r="T6" s="9" t="str">
        <f>'Experiment Overview'!$O$9&amp;" (Verified)"</f>
        <v>3106717 (Verified)</v>
      </c>
      <c r="U6" s="9" t="str">
        <f>'Experiment Overview'!$O$10&amp;" (Verified)"</f>
        <v>P250904-011-F09 (Verified)</v>
      </c>
      <c r="V6" s="9" t="str">
        <f>'Experiment Overview'!$O$11&amp;" (Verified)"</f>
        <v>24027229 (Verified)</v>
      </c>
      <c r="W6" s="9" t="str">
        <f>'Experiment Overview'!$O$12</f>
        <v>N/A</v>
      </c>
      <c r="X6" s="9" t="str">
        <f>'Experiment Overview'!$B$21</f>
        <v>00131</v>
      </c>
    </row>
    <row r="7" spans="1:24">
      <c r="A7" s="9" t="str">
        <f>'Sample List'!C11</f>
        <v>PD005594RME1_D_Hu_01</v>
      </c>
      <c r="B7" s="9" t="str">
        <f>'Experiment Overview'!$B$13</f>
        <v>DEN078</v>
      </c>
      <c r="C7" s="8">
        <f>'QS RNase P Analysis'!E12</f>
        <v>4.3542359205532222</v>
      </c>
      <c r="D7" s="8">
        <f>'QS RNase P Analysis'!D12</f>
        <v>30.689666666666668</v>
      </c>
      <c r="E7" s="8">
        <f>'QS RNase P Analysis'!F12</f>
        <v>5.6696724054556391E-2</v>
      </c>
      <c r="F7" s="14">
        <f>'QS RNase P Analysis'!$R$39</f>
        <v>0.99950836248992281</v>
      </c>
      <c r="G7" s="8">
        <f>'QS RNase P Analysis'!$R$38</f>
        <v>92.967406287950553</v>
      </c>
      <c r="H7" s="8">
        <f>'QS RNase P Analysis'!$R$34</f>
        <v>39.933310202038875</v>
      </c>
      <c r="I7" s="15">
        <f>'QS RNase P Analysis'!$R$35</f>
        <v>-3.5028237731018188</v>
      </c>
      <c r="J7" s="8">
        <f>'QS 16S Analysis'!E12</f>
        <v>9.9941346235509002E-2</v>
      </c>
      <c r="K7" s="8">
        <f>'QS 16S Analysis'!D12</f>
        <v>25.004000000000001</v>
      </c>
      <c r="L7" s="8">
        <f>'QS 16S Analysis'!F12</f>
        <v>3.3369979855486447E-2</v>
      </c>
      <c r="M7" s="14">
        <f>'QS 16S Analysis'!$R$39</f>
        <v>0.99981662334119403</v>
      </c>
      <c r="N7" s="8">
        <f>'QS 16S Analysis'!$R$38</f>
        <v>89.177137006252849</v>
      </c>
      <c r="O7" s="8">
        <f>'QS 16S Analysis'!$R$34</f>
        <v>28.614900693394915</v>
      </c>
      <c r="P7" s="15">
        <f>'QS 16S Analysis'!$R$35</f>
        <v>-3.6118210027095023</v>
      </c>
      <c r="Q7" s="9" t="str">
        <f>'Experiment Overview'!$O$6&amp;" (Verified)"</f>
        <v>4444554 (Verified)</v>
      </c>
      <c r="R7" s="9" t="str">
        <f>'Experiment Overview'!$O$7&amp;" (Verified)"</f>
        <v>3245729 (Verified)</v>
      </c>
      <c r="S7" s="9" t="str">
        <f>'Experiment Overview'!$O$8&amp;" (Verified)"</f>
        <v>0000636473 (Verified)</v>
      </c>
      <c r="T7" s="9" t="str">
        <f>'Experiment Overview'!$O$9&amp;" (Verified)"</f>
        <v>3106717 (Verified)</v>
      </c>
      <c r="U7" s="9" t="str">
        <f>'Experiment Overview'!$O$10&amp;" (Verified)"</f>
        <v>P250904-011-F09 (Verified)</v>
      </c>
      <c r="V7" s="9" t="str">
        <f>'Experiment Overview'!$O$11&amp;" (Verified)"</f>
        <v>24027229 (Verified)</v>
      </c>
      <c r="W7" s="9" t="str">
        <f>'Experiment Overview'!$O$12</f>
        <v>N/A</v>
      </c>
      <c r="X7" s="9" t="str">
        <f>'Experiment Overview'!$B$21</f>
        <v>00131</v>
      </c>
    </row>
    <row r="8" spans="1:24">
      <c r="A8" s="9" t="str">
        <f>'Sample List'!C12</f>
        <v>PD005593RME1_D_Hu_01</v>
      </c>
      <c r="B8" s="9" t="str">
        <f>'Experiment Overview'!$B$13</f>
        <v>DEN078</v>
      </c>
      <c r="C8" s="8">
        <f>'QS RNase P Analysis'!E13</f>
        <v>0.87737962961544325</v>
      </c>
      <c r="D8" s="8">
        <f>'QS RNase P Analysis'!D13</f>
        <v>33.126666666666665</v>
      </c>
      <c r="E8" s="8">
        <f>'QS RNase P Analysis'!F13</f>
        <v>0.57170103557197871</v>
      </c>
      <c r="F8" s="14">
        <f>'QS RNase P Analysis'!$R$39</f>
        <v>0.99950836248992281</v>
      </c>
      <c r="G8" s="8">
        <f>'QS RNase P Analysis'!$R$38</f>
        <v>92.967406287950553</v>
      </c>
      <c r="H8" s="8">
        <f>'QS RNase P Analysis'!$R$34</f>
        <v>39.933310202038875</v>
      </c>
      <c r="I8" s="15">
        <f>'QS RNase P Analysis'!$R$35</f>
        <v>-3.5028237731018188</v>
      </c>
      <c r="J8" s="8">
        <f>'QS 16S Analysis'!E13</f>
        <v>7.6433300177670809</v>
      </c>
      <c r="K8" s="8">
        <f>'QS 16S Analysis'!D13</f>
        <v>18.201000000000001</v>
      </c>
      <c r="L8" s="8">
        <f>'QS 16S Analysis'!F13</f>
        <v>0.14943077178264075</v>
      </c>
      <c r="M8" s="14">
        <f>'QS 16S Analysis'!$R$39</f>
        <v>0.99981662334119403</v>
      </c>
      <c r="N8" s="8">
        <f>'QS 16S Analysis'!$R$38</f>
        <v>89.177137006252849</v>
      </c>
      <c r="O8" s="8">
        <f>'QS 16S Analysis'!$R$34</f>
        <v>28.614900693394915</v>
      </c>
      <c r="P8" s="15">
        <f>'QS 16S Analysis'!$R$35</f>
        <v>-3.6118210027095023</v>
      </c>
      <c r="Q8" s="9" t="str">
        <f>'Experiment Overview'!$O$6&amp;" (Verified)"</f>
        <v>4444554 (Verified)</v>
      </c>
      <c r="R8" s="9" t="str">
        <f>'Experiment Overview'!$O$7&amp;" (Verified)"</f>
        <v>3245729 (Verified)</v>
      </c>
      <c r="S8" s="9" t="str">
        <f>'Experiment Overview'!$O$8&amp;" (Verified)"</f>
        <v>0000636473 (Verified)</v>
      </c>
      <c r="T8" s="9" t="str">
        <f>'Experiment Overview'!$O$9&amp;" (Verified)"</f>
        <v>3106717 (Verified)</v>
      </c>
      <c r="U8" s="9" t="str">
        <f>'Experiment Overview'!$O$10&amp;" (Verified)"</f>
        <v>P250904-011-F09 (Verified)</v>
      </c>
      <c r="V8" s="9" t="str">
        <f>'Experiment Overview'!$O$11&amp;" (Verified)"</f>
        <v>24027229 (Verified)</v>
      </c>
      <c r="W8" s="9" t="str">
        <f>'Experiment Overview'!$O$12</f>
        <v>N/A</v>
      </c>
      <c r="X8" s="9" t="str">
        <f>'Experiment Overview'!$B$21</f>
        <v>00131</v>
      </c>
    </row>
    <row r="9" spans="1:24">
      <c r="A9" s="9" t="str">
        <f>'Sample List'!C13</f>
        <v>PD005592RME1_D_Hu_01</v>
      </c>
      <c r="B9" s="9" t="str">
        <f>'Experiment Overview'!$B$13</f>
        <v>DEN078</v>
      </c>
      <c r="C9" s="8">
        <f>'QS RNase P Analysis'!E14</f>
        <v>6.1893618619574582</v>
      </c>
      <c r="D9" s="8">
        <f>'QS RNase P Analysis'!D14</f>
        <v>30.154666666666667</v>
      </c>
      <c r="E9" s="8">
        <f>'QS RNase P Analysis'!F14</f>
        <v>4.0225291472829133E-2</v>
      </c>
      <c r="F9" s="14">
        <f>'QS RNase P Analysis'!$R$39</f>
        <v>0.99950836248992281</v>
      </c>
      <c r="G9" s="8">
        <f>'QS RNase P Analysis'!$R$38</f>
        <v>92.967406287950553</v>
      </c>
      <c r="H9" s="8">
        <f>'QS RNase P Analysis'!$R$34</f>
        <v>39.933310202038875</v>
      </c>
      <c r="I9" s="15">
        <f>'QS RNase P Analysis'!$R$35</f>
        <v>-3.5028237731018188</v>
      </c>
      <c r="J9" s="8">
        <f>'QS 16S Analysis'!E14</f>
        <v>10.224145114362747</v>
      </c>
      <c r="K9" s="8">
        <f>'QS 16S Analysis'!D14</f>
        <v>17.744666666666667</v>
      </c>
      <c r="L9" s="8">
        <f>'QS 16S Analysis'!F14</f>
        <v>3.4439426157734251E-2</v>
      </c>
      <c r="M9" s="14">
        <f>'QS 16S Analysis'!$R$39</f>
        <v>0.99981662334119403</v>
      </c>
      <c r="N9" s="8">
        <f>'QS 16S Analysis'!$R$38</f>
        <v>89.177137006252849</v>
      </c>
      <c r="O9" s="8">
        <f>'QS 16S Analysis'!$R$34</f>
        <v>28.614900693394915</v>
      </c>
      <c r="P9" s="15">
        <f>'QS 16S Analysis'!$R$35</f>
        <v>-3.6118210027095023</v>
      </c>
      <c r="Q9" s="9" t="str">
        <f>'Experiment Overview'!$O$6&amp;" (Verified)"</f>
        <v>4444554 (Verified)</v>
      </c>
      <c r="R9" s="9" t="str">
        <f>'Experiment Overview'!$O$7&amp;" (Verified)"</f>
        <v>3245729 (Verified)</v>
      </c>
      <c r="S9" s="9" t="str">
        <f>'Experiment Overview'!$O$8&amp;" (Verified)"</f>
        <v>0000636473 (Verified)</v>
      </c>
      <c r="T9" s="9" t="str">
        <f>'Experiment Overview'!$O$9&amp;" (Verified)"</f>
        <v>3106717 (Verified)</v>
      </c>
      <c r="U9" s="9" t="str">
        <f>'Experiment Overview'!$O$10&amp;" (Verified)"</f>
        <v>P250904-011-F09 (Verified)</v>
      </c>
      <c r="V9" s="9" t="str">
        <f>'Experiment Overview'!$O$11&amp;" (Verified)"</f>
        <v>24027229 (Verified)</v>
      </c>
      <c r="W9" s="9" t="str">
        <f>'Experiment Overview'!$O$12</f>
        <v>N/A</v>
      </c>
      <c r="X9" s="9" t="str">
        <f>'Experiment Overview'!$B$21</f>
        <v>00131</v>
      </c>
    </row>
    <row r="10" spans="1:24">
      <c r="A10" s="9" t="str">
        <f>'Sample List'!C14</f>
        <v>PD005584RME1_D_Hu_01</v>
      </c>
      <c r="B10" s="9" t="str">
        <f>'Experiment Overview'!$B$13</f>
        <v>DEN078</v>
      </c>
      <c r="C10" s="8">
        <f>'QS RNase P Analysis'!E15</f>
        <v>52.843273306470586</v>
      </c>
      <c r="D10" s="8">
        <f>'QS RNase P Analysis'!D15</f>
        <v>26.892333333333337</v>
      </c>
      <c r="E10" s="8">
        <f>'QS RNase P Analysis'!F15</f>
        <v>1.8893463498335865E-2</v>
      </c>
      <c r="F10" s="14">
        <f>'QS RNase P Analysis'!$R$39</f>
        <v>0.99950836248992281</v>
      </c>
      <c r="G10" s="8">
        <f>'QS RNase P Analysis'!$R$38</f>
        <v>92.967406287950553</v>
      </c>
      <c r="H10" s="8">
        <f>'QS RNase P Analysis'!$R$34</f>
        <v>39.933310202038875</v>
      </c>
      <c r="I10" s="15">
        <f>'QS RNase P Analysis'!$R$35</f>
        <v>-3.5028237731018188</v>
      </c>
      <c r="J10" s="8">
        <f>'QS 16S Analysis'!E15</f>
        <v>5.0609734337451279E-2</v>
      </c>
      <c r="K10" s="8">
        <f>'QS 16S Analysis'!D15</f>
        <v>26.071333333333332</v>
      </c>
      <c r="L10" s="8">
        <f>'QS 16S Analysis'!F15</f>
        <v>2.406626654022577E-2</v>
      </c>
      <c r="M10" s="14">
        <f>'QS 16S Analysis'!$R$39</f>
        <v>0.99981662334119403</v>
      </c>
      <c r="N10" s="8">
        <f>'QS 16S Analysis'!$R$38</f>
        <v>89.177137006252849</v>
      </c>
      <c r="O10" s="8">
        <f>'QS 16S Analysis'!$R$34</f>
        <v>28.614900693394915</v>
      </c>
      <c r="P10" s="15">
        <f>'QS 16S Analysis'!$R$35</f>
        <v>-3.6118210027095023</v>
      </c>
      <c r="Q10" s="9" t="str">
        <f>'Experiment Overview'!$O$6&amp;" (Verified)"</f>
        <v>4444554 (Verified)</v>
      </c>
      <c r="R10" s="9" t="str">
        <f>'Experiment Overview'!$O$7&amp;" (Verified)"</f>
        <v>3245729 (Verified)</v>
      </c>
      <c r="S10" s="9" t="str">
        <f>'Experiment Overview'!$O$8&amp;" (Verified)"</f>
        <v>0000636473 (Verified)</v>
      </c>
      <c r="T10" s="9" t="str">
        <f>'Experiment Overview'!$O$9&amp;" (Verified)"</f>
        <v>3106717 (Verified)</v>
      </c>
      <c r="U10" s="9" t="str">
        <f>'Experiment Overview'!$O$10&amp;" (Verified)"</f>
        <v>P250904-011-F09 (Verified)</v>
      </c>
      <c r="V10" s="9" t="str">
        <f>'Experiment Overview'!$O$11&amp;" (Verified)"</f>
        <v>24027229 (Verified)</v>
      </c>
      <c r="W10" s="9" t="str">
        <f>'Experiment Overview'!$O$12</f>
        <v>N/A</v>
      </c>
      <c r="X10" s="9" t="str">
        <f>'Experiment Overview'!$B$21</f>
        <v>00131</v>
      </c>
    </row>
    <row r="11" spans="1:24">
      <c r="A11" s="9" t="str">
        <f>'Sample List'!C15</f>
        <v>PD005578RME1_D_Hu_01</v>
      </c>
      <c r="B11" s="9" t="str">
        <f>'Experiment Overview'!$B$13</f>
        <v>DEN078</v>
      </c>
      <c r="C11" s="8">
        <f>'QS RNase P Analysis'!E16</f>
        <v>8.5658430334351756</v>
      </c>
      <c r="D11" s="8">
        <f>'QS RNase P Analysis'!D16</f>
        <v>29.66033333333333</v>
      </c>
      <c r="E11" s="8">
        <f>'QS RNase P Analysis'!F16</f>
        <v>3.7074499572057572E-2</v>
      </c>
      <c r="F11" s="14">
        <f>'QS RNase P Analysis'!$R$39</f>
        <v>0.99950836248992281</v>
      </c>
      <c r="G11" s="8">
        <f>'QS RNase P Analysis'!$R$38</f>
        <v>92.967406287950553</v>
      </c>
      <c r="H11" s="8">
        <f>'QS RNase P Analysis'!$R$34</f>
        <v>39.933310202038875</v>
      </c>
      <c r="I11" s="15">
        <f>'QS RNase P Analysis'!$R$35</f>
        <v>-3.5028237731018188</v>
      </c>
      <c r="J11" s="8">
        <f>'QS 16S Analysis'!E16</f>
        <v>10.056073062644765</v>
      </c>
      <c r="K11" s="8">
        <f>'QS 16S Analysis'!D16</f>
        <v>17.770666666666667</v>
      </c>
      <c r="L11" s="8">
        <f>'QS 16S Analysis'!F16</f>
        <v>2.7686070839295886E-2</v>
      </c>
      <c r="M11" s="14">
        <f>'QS 16S Analysis'!$R$39</f>
        <v>0.99981662334119403</v>
      </c>
      <c r="N11" s="8">
        <f>'QS 16S Analysis'!$R$38</f>
        <v>89.177137006252849</v>
      </c>
      <c r="O11" s="8">
        <f>'QS 16S Analysis'!$R$34</f>
        <v>28.614900693394915</v>
      </c>
      <c r="P11" s="15">
        <f>'QS 16S Analysis'!$R$35</f>
        <v>-3.6118210027095023</v>
      </c>
      <c r="Q11" s="9" t="str">
        <f>'Experiment Overview'!$O$6&amp;" (Verified)"</f>
        <v>4444554 (Verified)</v>
      </c>
      <c r="R11" s="9" t="str">
        <f>'Experiment Overview'!$O$7&amp;" (Verified)"</f>
        <v>3245729 (Verified)</v>
      </c>
      <c r="S11" s="9" t="str">
        <f>'Experiment Overview'!$O$8&amp;" (Verified)"</f>
        <v>0000636473 (Verified)</v>
      </c>
      <c r="T11" s="9" t="str">
        <f>'Experiment Overview'!$O$9&amp;" (Verified)"</f>
        <v>3106717 (Verified)</v>
      </c>
      <c r="U11" s="9" t="str">
        <f>'Experiment Overview'!$O$10&amp;" (Verified)"</f>
        <v>P250904-011-F09 (Verified)</v>
      </c>
      <c r="V11" s="9" t="str">
        <f>'Experiment Overview'!$O$11&amp;" (Verified)"</f>
        <v>24027229 (Verified)</v>
      </c>
      <c r="W11" s="9" t="str">
        <f>'Experiment Overview'!$O$12</f>
        <v>N/A</v>
      </c>
      <c r="X11" s="9" t="str">
        <f>'Experiment Overview'!$B$21</f>
        <v>00131</v>
      </c>
    </row>
    <row r="12" spans="1:24">
      <c r="A12" s="9" t="str">
        <f>'Sample List'!C16</f>
        <v>PD005575RME1_D_Hu_01</v>
      </c>
      <c r="B12" s="9" t="str">
        <f>'Experiment Overview'!$B$13</f>
        <v>DEN078</v>
      </c>
      <c r="C12" s="8">
        <f>'QS RNase P Analysis'!E17</f>
        <v>8.3948950360573686</v>
      </c>
      <c r="D12" s="8">
        <f>'QS RNase P Analysis'!D17</f>
        <v>29.691000000000003</v>
      </c>
      <c r="E12" s="8">
        <f>'QS RNase P Analysis'!F17</f>
        <v>2.2895899681432977E-2</v>
      </c>
      <c r="F12" s="14">
        <f>'QS RNase P Analysis'!$R$39</f>
        <v>0.99950836248992281</v>
      </c>
      <c r="G12" s="8">
        <f>'QS RNase P Analysis'!$R$38</f>
        <v>92.967406287950553</v>
      </c>
      <c r="H12" s="8">
        <f>'QS RNase P Analysis'!$R$34</f>
        <v>39.933310202038875</v>
      </c>
      <c r="I12" s="15">
        <f>'QS RNase P Analysis'!$R$35</f>
        <v>-3.5028237731018188</v>
      </c>
      <c r="J12" s="8">
        <f>'QS 16S Analysis'!E17</f>
        <v>4.4836927278948</v>
      </c>
      <c r="K12" s="8">
        <f>'QS 16S Analysis'!D17</f>
        <v>19.037666666666667</v>
      </c>
      <c r="L12" s="8">
        <f>'QS 16S Analysis'!F17</f>
        <v>3.2250179442509498E-2</v>
      </c>
      <c r="M12" s="14">
        <f>'QS 16S Analysis'!$R$39</f>
        <v>0.99981662334119403</v>
      </c>
      <c r="N12" s="8">
        <f>'QS 16S Analysis'!$R$38</f>
        <v>89.177137006252849</v>
      </c>
      <c r="O12" s="8">
        <f>'QS 16S Analysis'!$R$34</f>
        <v>28.614900693394915</v>
      </c>
      <c r="P12" s="15">
        <f>'QS 16S Analysis'!$R$35</f>
        <v>-3.6118210027095023</v>
      </c>
      <c r="Q12" s="9" t="str">
        <f>'Experiment Overview'!$O$6&amp;" (Verified)"</f>
        <v>4444554 (Verified)</v>
      </c>
      <c r="R12" s="9" t="str">
        <f>'Experiment Overview'!$O$7&amp;" (Verified)"</f>
        <v>3245729 (Verified)</v>
      </c>
      <c r="S12" s="9" t="str">
        <f>'Experiment Overview'!$O$8&amp;" (Verified)"</f>
        <v>0000636473 (Verified)</v>
      </c>
      <c r="T12" s="9" t="str">
        <f>'Experiment Overview'!$O$9&amp;" (Verified)"</f>
        <v>3106717 (Verified)</v>
      </c>
      <c r="U12" s="9" t="str">
        <f>'Experiment Overview'!$O$10&amp;" (Verified)"</f>
        <v>P250904-011-F09 (Verified)</v>
      </c>
      <c r="V12" s="9" t="str">
        <f>'Experiment Overview'!$O$11&amp;" (Verified)"</f>
        <v>24027229 (Verified)</v>
      </c>
      <c r="W12" s="9" t="str">
        <f>'Experiment Overview'!$O$12</f>
        <v>N/A</v>
      </c>
      <c r="X12" s="9" t="str">
        <f>'Experiment Overview'!$B$21</f>
        <v>00131</v>
      </c>
    </row>
    <row r="13" spans="1:24">
      <c r="A13" s="9" t="str">
        <f>'Sample List'!C17</f>
        <v>PD005572RME1_D_Hu_01</v>
      </c>
      <c r="B13" s="9" t="str">
        <f>'Experiment Overview'!$B$13</f>
        <v>DEN078</v>
      </c>
      <c r="C13" s="8">
        <f>'QS RNase P Analysis'!E18</f>
        <v>13.657416743390506</v>
      </c>
      <c r="D13" s="8">
        <f>'QS RNase P Analysis'!D18</f>
        <v>28.950666666666667</v>
      </c>
      <c r="E13" s="8">
        <f>'QS RNase P Analysis'!F18</f>
        <v>3.1163844197807315E-2</v>
      </c>
      <c r="F13" s="14">
        <f>'QS RNase P Analysis'!$R$39</f>
        <v>0.99950836248992281</v>
      </c>
      <c r="G13" s="8">
        <f>'QS RNase P Analysis'!$R$38</f>
        <v>92.967406287950553</v>
      </c>
      <c r="H13" s="8">
        <f>'QS RNase P Analysis'!$R$34</f>
        <v>39.933310202038875</v>
      </c>
      <c r="I13" s="15">
        <f>'QS RNase P Analysis'!$R$35</f>
        <v>-3.5028237731018188</v>
      </c>
      <c r="J13" s="8">
        <f>'QS 16S Analysis'!E18</f>
        <v>32.114304336173326</v>
      </c>
      <c r="K13" s="8">
        <f>'QS 16S Analysis'!D18</f>
        <v>15.949333333333334</v>
      </c>
      <c r="L13" s="8">
        <f>'QS 16S Analysis'!F18</f>
        <v>4.6044262118901294E-2</v>
      </c>
      <c r="M13" s="14">
        <f>'QS 16S Analysis'!$R$39</f>
        <v>0.99981662334119403</v>
      </c>
      <c r="N13" s="8">
        <f>'QS 16S Analysis'!$R$38</f>
        <v>89.177137006252849</v>
      </c>
      <c r="O13" s="8">
        <f>'QS 16S Analysis'!$R$34</f>
        <v>28.614900693394915</v>
      </c>
      <c r="P13" s="15">
        <f>'QS 16S Analysis'!$R$35</f>
        <v>-3.6118210027095023</v>
      </c>
      <c r="Q13" s="9" t="str">
        <f>'Experiment Overview'!$O$6&amp;" (Verified)"</f>
        <v>4444554 (Verified)</v>
      </c>
      <c r="R13" s="9" t="str">
        <f>'Experiment Overview'!$O$7&amp;" (Verified)"</f>
        <v>3245729 (Verified)</v>
      </c>
      <c r="S13" s="9" t="str">
        <f>'Experiment Overview'!$O$8&amp;" (Verified)"</f>
        <v>0000636473 (Verified)</v>
      </c>
      <c r="T13" s="9" t="str">
        <f>'Experiment Overview'!$O$9&amp;" (Verified)"</f>
        <v>3106717 (Verified)</v>
      </c>
      <c r="U13" s="9" t="str">
        <f>'Experiment Overview'!$O$10&amp;" (Verified)"</f>
        <v>P250904-011-F09 (Verified)</v>
      </c>
      <c r="V13" s="9" t="str">
        <f>'Experiment Overview'!$O$11&amp;" (Verified)"</f>
        <v>24027229 (Verified)</v>
      </c>
      <c r="W13" s="9" t="str">
        <f>'Experiment Overview'!$O$12</f>
        <v>N/A</v>
      </c>
      <c r="X13" s="9" t="str">
        <f>'Experiment Overview'!$B$21</f>
        <v>00131</v>
      </c>
    </row>
    <row r="14" spans="1:24">
      <c r="A14" s="9" t="str">
        <f>'Sample List'!C18</f>
        <v>PD005571RME1_D_Hu_01</v>
      </c>
      <c r="B14" s="9" t="str">
        <f>'Experiment Overview'!$B$13</f>
        <v>DEN078</v>
      </c>
      <c r="C14" s="8">
        <f>'QS RNase P Analysis'!E19</f>
        <v>2.0734603136755321</v>
      </c>
      <c r="D14" s="8">
        <f>'QS RNase P Analysis'!D19</f>
        <v>31.818333333333332</v>
      </c>
      <c r="E14" s="8">
        <f>'QS RNase P Analysis'!F19</f>
        <v>7.6064787200463224E-2</v>
      </c>
      <c r="F14" s="14">
        <f>'QS RNase P Analysis'!$R$39</f>
        <v>0.99950836248992281</v>
      </c>
      <c r="G14" s="8">
        <f>'QS RNase P Analysis'!$R$38</f>
        <v>92.967406287950553</v>
      </c>
      <c r="H14" s="8">
        <f>'QS RNase P Analysis'!$R$34</f>
        <v>39.933310202038875</v>
      </c>
      <c r="I14" s="15">
        <f>'QS RNase P Analysis'!$R$35</f>
        <v>-3.5028237731018188</v>
      </c>
      <c r="J14" s="8">
        <f>'QS 16S Analysis'!E19</f>
        <v>3.3059221953268194</v>
      </c>
      <c r="K14" s="8">
        <f>'QS 16S Analysis'!D19</f>
        <v>19.515666666666668</v>
      </c>
      <c r="L14" s="8">
        <f>'QS 16S Analysis'!F19</f>
        <v>4.4875960734583782E-2</v>
      </c>
      <c r="M14" s="14">
        <f>'QS 16S Analysis'!$R$39</f>
        <v>0.99981662334119403</v>
      </c>
      <c r="N14" s="8">
        <f>'QS 16S Analysis'!$R$38</f>
        <v>89.177137006252849</v>
      </c>
      <c r="O14" s="8">
        <f>'QS 16S Analysis'!$R$34</f>
        <v>28.614900693394915</v>
      </c>
      <c r="P14" s="15">
        <f>'QS 16S Analysis'!$R$35</f>
        <v>-3.6118210027095023</v>
      </c>
      <c r="Q14" s="9" t="str">
        <f>'Experiment Overview'!$O$6&amp;" (Verified)"</f>
        <v>4444554 (Verified)</v>
      </c>
      <c r="R14" s="9" t="str">
        <f>'Experiment Overview'!$O$7&amp;" (Verified)"</f>
        <v>3245729 (Verified)</v>
      </c>
      <c r="S14" s="9" t="str">
        <f>'Experiment Overview'!$O$8&amp;" (Verified)"</f>
        <v>0000636473 (Verified)</v>
      </c>
      <c r="T14" s="9" t="str">
        <f>'Experiment Overview'!$O$9&amp;" (Verified)"</f>
        <v>3106717 (Verified)</v>
      </c>
      <c r="U14" s="9" t="str">
        <f>'Experiment Overview'!$O$10&amp;" (Verified)"</f>
        <v>P250904-011-F09 (Verified)</v>
      </c>
      <c r="V14" s="9" t="str">
        <f>'Experiment Overview'!$O$11&amp;" (Verified)"</f>
        <v>24027229 (Verified)</v>
      </c>
      <c r="W14" s="9" t="str">
        <f>'Experiment Overview'!$O$12</f>
        <v>N/A</v>
      </c>
      <c r="X14" s="9" t="str">
        <f>'Experiment Overview'!$B$21</f>
        <v>00131</v>
      </c>
    </row>
    <row r="15" spans="1:24">
      <c r="A15" s="9" t="str">
        <f>'Sample List'!C19</f>
        <v>PD005568RME1_D_Hu_01</v>
      </c>
      <c r="B15" s="9" t="str">
        <f>'Experiment Overview'!$B$13</f>
        <v>DEN078</v>
      </c>
      <c r="C15" s="8">
        <f>'QS RNase P Analysis'!E20</f>
        <v>0.81617692366420969</v>
      </c>
      <c r="D15" s="8">
        <f>'QS RNase P Analysis'!D20</f>
        <v>33.236666666666665</v>
      </c>
      <c r="E15" s="8">
        <f>'QS RNase P Analysis'!F20</f>
        <v>0.15610134409936982</v>
      </c>
      <c r="F15" s="14">
        <f>'QS RNase P Analysis'!$R$39</f>
        <v>0.99950836248992281</v>
      </c>
      <c r="G15" s="8">
        <f>'QS RNase P Analysis'!$R$38</f>
        <v>92.967406287950553</v>
      </c>
      <c r="H15" s="8">
        <f>'QS RNase P Analysis'!$R$34</f>
        <v>39.933310202038875</v>
      </c>
      <c r="I15" s="15">
        <f>'QS RNase P Analysis'!$R$35</f>
        <v>-3.5028237731018188</v>
      </c>
      <c r="J15" s="8">
        <f>'QS 16S Analysis'!E20</f>
        <v>1.9488055984306476</v>
      </c>
      <c r="K15" s="8">
        <f>'QS 16S Analysis'!D20</f>
        <v>20.344666666666665</v>
      </c>
      <c r="L15" s="8">
        <f>'QS 16S Analysis'!F20</f>
        <v>4.7687252741949052E-3</v>
      </c>
      <c r="M15" s="14">
        <f>'QS 16S Analysis'!$R$39</f>
        <v>0.99981662334119403</v>
      </c>
      <c r="N15" s="8">
        <f>'QS 16S Analysis'!$R$38</f>
        <v>89.177137006252849</v>
      </c>
      <c r="O15" s="8">
        <f>'QS 16S Analysis'!$R$34</f>
        <v>28.614900693394915</v>
      </c>
      <c r="P15" s="15">
        <f>'QS 16S Analysis'!$R$35</f>
        <v>-3.6118210027095023</v>
      </c>
      <c r="Q15" s="9" t="str">
        <f>'Experiment Overview'!$O$6&amp;" (Verified)"</f>
        <v>4444554 (Verified)</v>
      </c>
      <c r="R15" s="9" t="str">
        <f>'Experiment Overview'!$O$7&amp;" (Verified)"</f>
        <v>3245729 (Verified)</v>
      </c>
      <c r="S15" s="9" t="str">
        <f>'Experiment Overview'!$O$8&amp;" (Verified)"</f>
        <v>0000636473 (Verified)</v>
      </c>
      <c r="T15" s="9" t="str">
        <f>'Experiment Overview'!$O$9&amp;" (Verified)"</f>
        <v>3106717 (Verified)</v>
      </c>
      <c r="U15" s="9" t="str">
        <f>'Experiment Overview'!$O$10&amp;" (Verified)"</f>
        <v>P250904-011-F09 (Verified)</v>
      </c>
      <c r="V15" s="9" t="str">
        <f>'Experiment Overview'!$O$11&amp;" (Verified)"</f>
        <v>24027229 (Verified)</v>
      </c>
      <c r="W15" s="9" t="str">
        <f>'Experiment Overview'!$O$12</f>
        <v>N/A</v>
      </c>
      <c r="X15" s="9" t="str">
        <f>'Experiment Overview'!$B$21</f>
        <v>00131</v>
      </c>
    </row>
    <row r="16" spans="1:24">
      <c r="A16" s="9" t="str">
        <f>'Sample List'!C20</f>
        <v>PD005565RME1_D_Hu_01</v>
      </c>
      <c r="B16" s="9" t="str">
        <f>'Experiment Overview'!$B$13</f>
        <v>DEN078</v>
      </c>
      <c r="C16" s="8">
        <f>'QS RNase P Analysis'!E21</f>
        <v>0.40856848435272736</v>
      </c>
      <c r="D16" s="8">
        <f>'QS RNase P Analysis'!D21</f>
        <v>34.289333333333332</v>
      </c>
      <c r="E16" s="8">
        <f>'QS RNase P Analysis'!F21</f>
        <v>6.15726009291898E-2</v>
      </c>
      <c r="F16" s="14">
        <f>'QS RNase P Analysis'!$R$39</f>
        <v>0.99950836248992281</v>
      </c>
      <c r="G16" s="8">
        <f>'QS RNase P Analysis'!$R$38</f>
        <v>92.967406287950553</v>
      </c>
      <c r="H16" s="8">
        <f>'QS RNase P Analysis'!$R$34</f>
        <v>39.933310202038875</v>
      </c>
      <c r="I16" s="15">
        <f>'QS RNase P Analysis'!$R$35</f>
        <v>-3.5028237731018188</v>
      </c>
      <c r="J16" s="8">
        <f>'QS 16S Analysis'!E21</f>
        <v>0.62746333131758969</v>
      </c>
      <c r="K16" s="8">
        <f>'QS 16S Analysis'!D21</f>
        <v>22.122333333333334</v>
      </c>
      <c r="L16" s="8">
        <f>'QS 16S Analysis'!F21</f>
        <v>1.3302742685738382E-2</v>
      </c>
      <c r="M16" s="14">
        <f>'QS 16S Analysis'!$R$39</f>
        <v>0.99981662334119403</v>
      </c>
      <c r="N16" s="8">
        <f>'QS 16S Analysis'!$R$38</f>
        <v>89.177137006252849</v>
      </c>
      <c r="O16" s="8">
        <f>'QS 16S Analysis'!$R$34</f>
        <v>28.614900693394915</v>
      </c>
      <c r="P16" s="15">
        <f>'QS 16S Analysis'!$R$35</f>
        <v>-3.6118210027095023</v>
      </c>
      <c r="Q16" s="9" t="str">
        <f>'Experiment Overview'!$O$6&amp;" (Verified)"</f>
        <v>4444554 (Verified)</v>
      </c>
      <c r="R16" s="9" t="str">
        <f>'Experiment Overview'!$O$7&amp;" (Verified)"</f>
        <v>3245729 (Verified)</v>
      </c>
      <c r="S16" s="9" t="str">
        <f>'Experiment Overview'!$O$8&amp;" (Verified)"</f>
        <v>0000636473 (Verified)</v>
      </c>
      <c r="T16" s="9" t="str">
        <f>'Experiment Overview'!$O$9&amp;" (Verified)"</f>
        <v>3106717 (Verified)</v>
      </c>
      <c r="U16" s="9" t="str">
        <f>'Experiment Overview'!$O$10&amp;" (Verified)"</f>
        <v>P250904-011-F09 (Verified)</v>
      </c>
      <c r="V16" s="9" t="str">
        <f>'Experiment Overview'!$O$11&amp;" (Verified)"</f>
        <v>24027229 (Verified)</v>
      </c>
      <c r="W16" s="9" t="str">
        <f>'Experiment Overview'!$O$12</f>
        <v>N/A</v>
      </c>
      <c r="X16" s="9" t="str">
        <f>'Experiment Overview'!$B$21</f>
        <v>00131</v>
      </c>
    </row>
    <row r="17" spans="1:24">
      <c r="A17" s="9" t="str">
        <f>'Sample List'!C21</f>
        <v>PD005564RME4_D_Hu_01</v>
      </c>
      <c r="B17" s="9" t="str">
        <f>'Experiment Overview'!$B$13</f>
        <v>DEN078</v>
      </c>
      <c r="C17" s="8">
        <f>'QS RNase P Analysis'!E22</f>
        <v>3.0205617146266466</v>
      </c>
      <c r="D17" s="8">
        <f>'QS RNase P Analysis'!D22</f>
        <v>31.245999999999999</v>
      </c>
      <c r="E17" s="8">
        <f>'QS RNase P Analysis'!F22</f>
        <v>4.0108187027920315E-2</v>
      </c>
      <c r="F17" s="14">
        <f>'QS RNase P Analysis'!$R$39</f>
        <v>0.99950836248992281</v>
      </c>
      <c r="G17" s="8">
        <f>'QS RNase P Analysis'!$R$38</f>
        <v>92.967406287950553</v>
      </c>
      <c r="H17" s="8">
        <f>'QS RNase P Analysis'!$R$34</f>
        <v>39.933310202038875</v>
      </c>
      <c r="I17" s="15">
        <f>'QS RNase P Analysis'!$R$35</f>
        <v>-3.5028237731018188</v>
      </c>
      <c r="J17" s="8">
        <f>'QS 16S Analysis'!E22</f>
        <v>27.06483796445244</v>
      </c>
      <c r="K17" s="8">
        <f>'QS 16S Analysis'!D22</f>
        <v>16.21766666666667</v>
      </c>
      <c r="L17" s="8">
        <f>'QS 16S Analysis'!F22</f>
        <v>5.8226250920837178E-2</v>
      </c>
      <c r="M17" s="14">
        <f>'QS 16S Analysis'!$R$39</f>
        <v>0.99981662334119403</v>
      </c>
      <c r="N17" s="8">
        <f>'QS 16S Analysis'!$R$38</f>
        <v>89.177137006252849</v>
      </c>
      <c r="O17" s="8">
        <f>'QS 16S Analysis'!$R$34</f>
        <v>28.614900693394915</v>
      </c>
      <c r="P17" s="15">
        <f>'QS 16S Analysis'!$R$35</f>
        <v>-3.6118210027095023</v>
      </c>
      <c r="Q17" s="9" t="str">
        <f>'Experiment Overview'!$O$6&amp;" (Verified)"</f>
        <v>4444554 (Verified)</v>
      </c>
      <c r="R17" s="9" t="str">
        <f>'Experiment Overview'!$O$7&amp;" (Verified)"</f>
        <v>3245729 (Verified)</v>
      </c>
      <c r="S17" s="9" t="str">
        <f>'Experiment Overview'!$O$8&amp;" (Verified)"</f>
        <v>0000636473 (Verified)</v>
      </c>
      <c r="T17" s="9" t="str">
        <f>'Experiment Overview'!$O$9&amp;" (Verified)"</f>
        <v>3106717 (Verified)</v>
      </c>
      <c r="U17" s="9" t="str">
        <f>'Experiment Overview'!$O$10&amp;" (Verified)"</f>
        <v>P250904-011-F09 (Verified)</v>
      </c>
      <c r="V17" s="9" t="str">
        <f>'Experiment Overview'!$O$11&amp;" (Verified)"</f>
        <v>24027229 (Verified)</v>
      </c>
      <c r="W17" s="9" t="str">
        <f>'Experiment Overview'!$O$12</f>
        <v>N/A</v>
      </c>
      <c r="X17" s="9" t="str">
        <f>'Experiment Overview'!$B$21</f>
        <v>00131</v>
      </c>
    </row>
    <row r="18" spans="1:24">
      <c r="A18" s="9" t="str">
        <f>'Sample List'!C22</f>
        <v>PD005563RME1_D_Hu_01</v>
      </c>
      <c r="B18" s="9" t="str">
        <f>'Experiment Overview'!$B$13</f>
        <v>DEN078</v>
      </c>
      <c r="C18" s="8">
        <f>'QS RNase P Analysis'!E23</f>
        <v>1.6208185700585742</v>
      </c>
      <c r="D18" s="8">
        <f>'QS RNase P Analysis'!D23</f>
        <v>32.193000000000005</v>
      </c>
      <c r="E18" s="8">
        <f>'QS RNase P Analysis'!F23</f>
        <v>8.3394644112597074E-2</v>
      </c>
      <c r="F18" s="14">
        <f>'QS RNase P Analysis'!$R$39</f>
        <v>0.99950836248992281</v>
      </c>
      <c r="G18" s="8">
        <f>'QS RNase P Analysis'!$R$38</f>
        <v>92.967406287950553</v>
      </c>
      <c r="H18" s="8">
        <f>'QS RNase P Analysis'!$R$34</f>
        <v>39.933310202038875</v>
      </c>
      <c r="I18" s="15">
        <f>'QS RNase P Analysis'!$R$35</f>
        <v>-3.5028237731018188</v>
      </c>
      <c r="J18" s="8">
        <f>'QS 16S Analysis'!E23</f>
        <v>1.7046142016873949</v>
      </c>
      <c r="K18" s="8">
        <f>'QS 16S Analysis'!D23</f>
        <v>20.554666666666666</v>
      </c>
      <c r="L18" s="8">
        <f>'QS 16S Analysis'!F23</f>
        <v>0.10321965072744761</v>
      </c>
      <c r="M18" s="14">
        <f>'QS 16S Analysis'!$R$39</f>
        <v>0.99981662334119403</v>
      </c>
      <c r="N18" s="8">
        <f>'QS 16S Analysis'!$R$38</f>
        <v>89.177137006252849</v>
      </c>
      <c r="O18" s="8">
        <f>'QS 16S Analysis'!$R$34</f>
        <v>28.614900693394915</v>
      </c>
      <c r="P18" s="15">
        <f>'QS 16S Analysis'!$R$35</f>
        <v>-3.6118210027095023</v>
      </c>
      <c r="Q18" s="9" t="str">
        <f>'Experiment Overview'!$O$6&amp;" (Verified)"</f>
        <v>4444554 (Verified)</v>
      </c>
      <c r="R18" s="9" t="str">
        <f>'Experiment Overview'!$O$7&amp;" (Verified)"</f>
        <v>3245729 (Verified)</v>
      </c>
      <c r="S18" s="9" t="str">
        <f>'Experiment Overview'!$O$8&amp;" (Verified)"</f>
        <v>0000636473 (Verified)</v>
      </c>
      <c r="T18" s="9" t="str">
        <f>'Experiment Overview'!$O$9&amp;" (Verified)"</f>
        <v>3106717 (Verified)</v>
      </c>
      <c r="U18" s="9" t="str">
        <f>'Experiment Overview'!$O$10&amp;" (Verified)"</f>
        <v>P250904-011-F09 (Verified)</v>
      </c>
      <c r="V18" s="9" t="str">
        <f>'Experiment Overview'!$O$11&amp;" (Verified)"</f>
        <v>24027229 (Verified)</v>
      </c>
      <c r="W18" s="9" t="str">
        <f>'Experiment Overview'!$O$12</f>
        <v>N/A</v>
      </c>
      <c r="X18" s="9" t="str">
        <f>'Experiment Overview'!$B$21</f>
        <v>00131</v>
      </c>
    </row>
    <row r="19" spans="1:24">
      <c r="A19" s="9" t="str">
        <f>'Sample List'!C23</f>
        <v>PD005562RME1_D_Hu_01</v>
      </c>
      <c r="B19" s="9" t="str">
        <f>'Experiment Overview'!$B$13</f>
        <v>DEN078</v>
      </c>
      <c r="C19" s="8">
        <f>'QS RNase P Analysis'!E24</f>
        <v>1.3614007742970029</v>
      </c>
      <c r="D19" s="8">
        <f>'QS RNase P Analysis'!D24</f>
        <v>32.458333333333336</v>
      </c>
      <c r="E19" s="8">
        <f>'QS RNase P Analysis'!F24</f>
        <v>5.7620083947126664E-2</v>
      </c>
      <c r="F19" s="14">
        <f>'QS RNase P Analysis'!$R$39</f>
        <v>0.99950836248992281</v>
      </c>
      <c r="G19" s="8">
        <f>'QS RNase P Analysis'!$R$38</f>
        <v>92.967406287950553</v>
      </c>
      <c r="H19" s="8">
        <f>'QS RNase P Analysis'!$R$34</f>
        <v>39.933310202038875</v>
      </c>
      <c r="I19" s="15">
        <f>'QS RNase P Analysis'!$R$35</f>
        <v>-3.5028237731018188</v>
      </c>
      <c r="J19" s="8">
        <f>'QS 16S Analysis'!E24</f>
        <v>3.1302153299679389</v>
      </c>
      <c r="K19" s="8">
        <f>'QS 16S Analysis'!D24</f>
        <v>19.601333333333333</v>
      </c>
      <c r="L19" s="8">
        <f>'QS 16S Analysis'!F24</f>
        <v>8.7566271199885429E-2</v>
      </c>
      <c r="M19" s="14">
        <f>'QS 16S Analysis'!$R$39</f>
        <v>0.99981662334119403</v>
      </c>
      <c r="N19" s="8">
        <f>'QS 16S Analysis'!$R$38</f>
        <v>89.177137006252849</v>
      </c>
      <c r="O19" s="8">
        <f>'QS 16S Analysis'!$R$34</f>
        <v>28.614900693394915</v>
      </c>
      <c r="P19" s="15">
        <f>'QS 16S Analysis'!$R$35</f>
        <v>-3.6118210027095023</v>
      </c>
      <c r="Q19" s="9" t="str">
        <f>'Experiment Overview'!$O$6&amp;" (Verified)"</f>
        <v>4444554 (Verified)</v>
      </c>
      <c r="R19" s="9" t="str">
        <f>'Experiment Overview'!$O$7&amp;" (Verified)"</f>
        <v>3245729 (Verified)</v>
      </c>
      <c r="S19" s="9" t="str">
        <f>'Experiment Overview'!$O$8&amp;" (Verified)"</f>
        <v>0000636473 (Verified)</v>
      </c>
      <c r="T19" s="9" t="str">
        <f>'Experiment Overview'!$O$9&amp;" (Verified)"</f>
        <v>3106717 (Verified)</v>
      </c>
      <c r="U19" s="9" t="str">
        <f>'Experiment Overview'!$O$10&amp;" (Verified)"</f>
        <v>P250904-011-F09 (Verified)</v>
      </c>
      <c r="V19" s="9" t="str">
        <f>'Experiment Overview'!$O$11&amp;" (Verified)"</f>
        <v>24027229 (Verified)</v>
      </c>
      <c r="W19" s="9" t="str">
        <f>'Experiment Overview'!$O$12</f>
        <v>N/A</v>
      </c>
      <c r="X19" s="9" t="str">
        <f>'Experiment Overview'!$B$21</f>
        <v>00131</v>
      </c>
    </row>
    <row r="20" spans="1:24">
      <c r="A20" s="9" t="str">
        <f>'Sample List'!C24</f>
        <v>PD005561RME1_D_Hu_01</v>
      </c>
      <c r="B20" s="9" t="str">
        <f>'Experiment Overview'!$B$13</f>
        <v>DEN078</v>
      </c>
      <c r="C20" s="8">
        <f>'QS RNase P Analysis'!E25</f>
        <v>7.9945550257910147</v>
      </c>
      <c r="D20" s="8">
        <f>'QS RNase P Analysis'!D25</f>
        <v>29.765333333333334</v>
      </c>
      <c r="E20" s="8">
        <f>'QS RNase P Analysis'!F25</f>
        <v>5.950599098379121E-2</v>
      </c>
      <c r="F20" s="14">
        <f>'QS RNase P Analysis'!$R$39</f>
        <v>0.99950836248992281</v>
      </c>
      <c r="G20" s="8">
        <f>'QS RNase P Analysis'!$R$38</f>
        <v>92.967406287950553</v>
      </c>
      <c r="H20" s="8">
        <f>'QS RNase P Analysis'!$R$34</f>
        <v>39.933310202038875</v>
      </c>
      <c r="I20" s="15">
        <f>'QS RNase P Analysis'!$R$35</f>
        <v>-3.5028237731018188</v>
      </c>
      <c r="J20" s="8">
        <f>'QS 16S Analysis'!E25</f>
        <v>4.6436942581648371</v>
      </c>
      <c r="K20" s="8">
        <f>'QS 16S Analysis'!D25</f>
        <v>18.982666666666663</v>
      </c>
      <c r="L20" s="8">
        <f>'QS 16S Analysis'!F25</f>
        <v>5.1925873091324204E-3</v>
      </c>
      <c r="M20" s="14">
        <f>'QS 16S Analysis'!$R$39</f>
        <v>0.99981662334119403</v>
      </c>
      <c r="N20" s="8">
        <f>'QS 16S Analysis'!$R$38</f>
        <v>89.177137006252849</v>
      </c>
      <c r="O20" s="8">
        <f>'QS 16S Analysis'!$R$34</f>
        <v>28.614900693394915</v>
      </c>
      <c r="P20" s="15">
        <f>'QS 16S Analysis'!$R$35</f>
        <v>-3.6118210027095023</v>
      </c>
      <c r="Q20" s="9" t="str">
        <f>'Experiment Overview'!$O$6&amp;" (Verified)"</f>
        <v>4444554 (Verified)</v>
      </c>
      <c r="R20" s="9" t="str">
        <f>'Experiment Overview'!$O$7&amp;" (Verified)"</f>
        <v>3245729 (Verified)</v>
      </c>
      <c r="S20" s="9" t="str">
        <f>'Experiment Overview'!$O$8&amp;" (Verified)"</f>
        <v>0000636473 (Verified)</v>
      </c>
      <c r="T20" s="9" t="str">
        <f>'Experiment Overview'!$O$9&amp;" (Verified)"</f>
        <v>3106717 (Verified)</v>
      </c>
      <c r="U20" s="9" t="str">
        <f>'Experiment Overview'!$O$10&amp;" (Verified)"</f>
        <v>P250904-011-F09 (Verified)</v>
      </c>
      <c r="V20" s="9" t="str">
        <f>'Experiment Overview'!$O$11&amp;" (Verified)"</f>
        <v>24027229 (Verified)</v>
      </c>
      <c r="W20" s="9" t="str">
        <f>'Experiment Overview'!$O$12</f>
        <v>N/A</v>
      </c>
      <c r="X20" s="9" t="str">
        <f>'Experiment Overview'!$B$21</f>
        <v>00131</v>
      </c>
    </row>
    <row r="21" spans="1:24">
      <c r="A21" s="9" t="str">
        <f>'Sample List'!C25</f>
        <v>PD005558RME1_D_Hu_01</v>
      </c>
      <c r="B21" s="9" t="str">
        <f>'Experiment Overview'!$B$13</f>
        <v>DEN078</v>
      </c>
      <c r="C21" s="8">
        <f>'QS RNase P Analysis'!E26</f>
        <v>4.8255032806378511</v>
      </c>
      <c r="D21" s="8">
        <f>'QS RNase P Analysis'!D26</f>
        <v>30.533333333333331</v>
      </c>
      <c r="E21" s="8">
        <f>'QS RNase P Analysis'!F26</f>
        <v>0.12690007734288308</v>
      </c>
      <c r="F21" s="14">
        <f>'QS RNase P Analysis'!$R$39</f>
        <v>0.99950836248992281</v>
      </c>
      <c r="G21" s="8">
        <f>'QS RNase P Analysis'!$R$38</f>
        <v>92.967406287950553</v>
      </c>
      <c r="H21" s="8">
        <f>'QS RNase P Analysis'!$R$34</f>
        <v>39.933310202038875</v>
      </c>
      <c r="I21" s="15">
        <f>'QS RNase P Analysis'!$R$35</f>
        <v>-3.5028237731018188</v>
      </c>
      <c r="J21" s="8">
        <f>'QS 16S Analysis'!E26</f>
        <v>1.0773900612378782</v>
      </c>
      <c r="K21" s="8">
        <f>'QS 16S Analysis'!D26</f>
        <v>21.274333333333331</v>
      </c>
      <c r="L21" s="8">
        <f>'QS 16S Analysis'!F26</f>
        <v>0.26647256824977306</v>
      </c>
      <c r="M21" s="14">
        <f>'QS 16S Analysis'!$R$39</f>
        <v>0.99981662334119403</v>
      </c>
      <c r="N21" s="8">
        <f>'QS 16S Analysis'!$R$38</f>
        <v>89.177137006252849</v>
      </c>
      <c r="O21" s="8">
        <f>'QS 16S Analysis'!$R$34</f>
        <v>28.614900693394915</v>
      </c>
      <c r="P21" s="15">
        <f>'QS 16S Analysis'!$R$35</f>
        <v>-3.6118210027095023</v>
      </c>
      <c r="Q21" s="9" t="str">
        <f>'Experiment Overview'!$O$6&amp;" (Verified)"</f>
        <v>4444554 (Verified)</v>
      </c>
      <c r="R21" s="9" t="str">
        <f>'Experiment Overview'!$O$7&amp;" (Verified)"</f>
        <v>3245729 (Verified)</v>
      </c>
      <c r="S21" s="9" t="str">
        <f>'Experiment Overview'!$O$8&amp;" (Verified)"</f>
        <v>0000636473 (Verified)</v>
      </c>
      <c r="T21" s="9" t="str">
        <f>'Experiment Overview'!$O$9&amp;" (Verified)"</f>
        <v>3106717 (Verified)</v>
      </c>
      <c r="U21" s="9" t="str">
        <f>'Experiment Overview'!$O$10&amp;" (Verified)"</f>
        <v>P250904-011-F09 (Verified)</v>
      </c>
      <c r="V21" s="9" t="str">
        <f>'Experiment Overview'!$O$11&amp;" (Verified)"</f>
        <v>24027229 (Verified)</v>
      </c>
      <c r="W21" s="9" t="str">
        <f>'Experiment Overview'!$O$12</f>
        <v>N/A</v>
      </c>
      <c r="X21" s="9" t="str">
        <f>'Experiment Overview'!$B$21</f>
        <v>00131</v>
      </c>
    </row>
    <row r="22" spans="1:24">
      <c r="A22" s="9" t="str">
        <f>'Sample List'!C26</f>
        <v>PD005557RME1_D_Hu_01</v>
      </c>
      <c r="B22" s="9" t="str">
        <f>'Experiment Overview'!$B$13</f>
        <v>DEN078</v>
      </c>
      <c r="C22" s="8">
        <f>'QS RNase P Analysis'!E27</f>
        <v>4.4585062395498918</v>
      </c>
      <c r="D22" s="8">
        <f>'QS RNase P Analysis'!D27</f>
        <v>30.653666666666666</v>
      </c>
      <c r="E22" s="8">
        <f>'QS RNase P Analysis'!F27</f>
        <v>0.13941172701616497</v>
      </c>
      <c r="F22" s="14">
        <f>'QS RNase P Analysis'!$R$39</f>
        <v>0.99950836248992281</v>
      </c>
      <c r="G22" s="8">
        <f>'QS RNase P Analysis'!$R$38</f>
        <v>92.967406287950553</v>
      </c>
      <c r="H22" s="8">
        <f>'QS RNase P Analysis'!$R$34</f>
        <v>39.933310202038875</v>
      </c>
      <c r="I22" s="15">
        <f>'QS RNase P Analysis'!$R$35</f>
        <v>-3.5028237731018188</v>
      </c>
      <c r="J22" s="8">
        <f>'QS 16S Analysis'!E27</f>
        <v>3.4021363678153427</v>
      </c>
      <c r="K22" s="8">
        <f>'QS 16S Analysis'!D27</f>
        <v>19.47066666666667</v>
      </c>
      <c r="L22" s="8">
        <f>'QS 16S Analysis'!F27</f>
        <v>0.19983567323252477</v>
      </c>
      <c r="M22" s="14">
        <f>'QS 16S Analysis'!$R$39</f>
        <v>0.99981662334119403</v>
      </c>
      <c r="N22" s="8">
        <f>'QS 16S Analysis'!$R$38</f>
        <v>89.177137006252849</v>
      </c>
      <c r="O22" s="8">
        <f>'QS 16S Analysis'!$R$34</f>
        <v>28.614900693394915</v>
      </c>
      <c r="P22" s="15">
        <f>'QS 16S Analysis'!$R$35</f>
        <v>-3.6118210027095023</v>
      </c>
      <c r="Q22" s="9" t="str">
        <f>'Experiment Overview'!$O$6&amp;" (Verified)"</f>
        <v>4444554 (Verified)</v>
      </c>
      <c r="R22" s="9" t="str">
        <f>'Experiment Overview'!$O$7&amp;" (Verified)"</f>
        <v>3245729 (Verified)</v>
      </c>
      <c r="S22" s="9" t="str">
        <f>'Experiment Overview'!$O$8&amp;" (Verified)"</f>
        <v>0000636473 (Verified)</v>
      </c>
      <c r="T22" s="9" t="str">
        <f>'Experiment Overview'!$O$9&amp;" (Verified)"</f>
        <v>3106717 (Verified)</v>
      </c>
      <c r="U22" s="9" t="str">
        <f>'Experiment Overview'!$O$10&amp;" (Verified)"</f>
        <v>P250904-011-F09 (Verified)</v>
      </c>
      <c r="V22" s="9" t="str">
        <f>'Experiment Overview'!$O$11&amp;" (Verified)"</f>
        <v>24027229 (Verified)</v>
      </c>
      <c r="W22" s="9" t="str">
        <f>'Experiment Overview'!$O$12</f>
        <v>N/A</v>
      </c>
      <c r="X22" s="9" t="str">
        <f>'Experiment Overview'!$B$21</f>
        <v>00131</v>
      </c>
    </row>
    <row r="23" spans="1:24">
      <c r="A23" s="9" t="str">
        <f>'Sample List'!C27</f>
        <v>PD005556RME1_D_Hu_01</v>
      </c>
      <c r="B23" s="9" t="str">
        <f>'Experiment Overview'!$B$13</f>
        <v>DEN078</v>
      </c>
      <c r="C23" s="8">
        <f>'QS RNase P Analysis'!E28</f>
        <v>1.636879324871322</v>
      </c>
      <c r="D23" s="8">
        <f>'QS RNase P Analysis'!D28</f>
        <v>32.177999999999997</v>
      </c>
      <c r="E23" s="8">
        <f>'QS RNase P Analysis'!F28</f>
        <v>7.0225035105406106E-2</v>
      </c>
      <c r="F23" s="14">
        <f>'QS RNase P Analysis'!$R$39</f>
        <v>0.99950836248992281</v>
      </c>
      <c r="G23" s="8">
        <f>'QS RNase P Analysis'!$R$38</f>
        <v>92.967406287950553</v>
      </c>
      <c r="H23" s="8">
        <f>'QS RNase P Analysis'!$R$34</f>
        <v>39.933310202038875</v>
      </c>
      <c r="I23" s="15">
        <f>'QS RNase P Analysis'!$R$35</f>
        <v>-3.5028237731018188</v>
      </c>
      <c r="J23" s="8">
        <f>'QS 16S Analysis'!E28</f>
        <v>1.5780653931337378</v>
      </c>
      <c r="K23" s="8">
        <f>'QS 16S Analysis'!D28</f>
        <v>20.675666666666668</v>
      </c>
      <c r="L23" s="8">
        <f>'QS 16S Analysis'!F28</f>
        <v>0.10231795034578683</v>
      </c>
      <c r="M23" s="14">
        <f>'QS 16S Analysis'!$R$39</f>
        <v>0.99981662334119403</v>
      </c>
      <c r="N23" s="8">
        <f>'QS 16S Analysis'!$R$38</f>
        <v>89.177137006252849</v>
      </c>
      <c r="O23" s="8">
        <f>'QS 16S Analysis'!$R$34</f>
        <v>28.614900693394915</v>
      </c>
      <c r="P23" s="15">
        <f>'QS 16S Analysis'!$R$35</f>
        <v>-3.6118210027095023</v>
      </c>
      <c r="Q23" s="9" t="str">
        <f>'Experiment Overview'!$O$6&amp;" (Verified)"</f>
        <v>4444554 (Verified)</v>
      </c>
      <c r="R23" s="9" t="str">
        <f>'Experiment Overview'!$O$7&amp;" (Verified)"</f>
        <v>3245729 (Verified)</v>
      </c>
      <c r="S23" s="9" t="str">
        <f>'Experiment Overview'!$O$8&amp;" (Verified)"</f>
        <v>0000636473 (Verified)</v>
      </c>
      <c r="T23" s="9" t="str">
        <f>'Experiment Overview'!$O$9&amp;" (Verified)"</f>
        <v>3106717 (Verified)</v>
      </c>
      <c r="U23" s="9" t="str">
        <f>'Experiment Overview'!$O$10&amp;" (Verified)"</f>
        <v>P250904-011-F09 (Verified)</v>
      </c>
      <c r="V23" s="9" t="str">
        <f>'Experiment Overview'!$O$11&amp;" (Verified)"</f>
        <v>24027229 (Verified)</v>
      </c>
      <c r="W23" s="9" t="str">
        <f>'Experiment Overview'!$O$12</f>
        <v>N/A</v>
      </c>
      <c r="X23" s="9" t="str">
        <f>'Experiment Overview'!$B$21</f>
        <v>00131</v>
      </c>
    </row>
    <row r="24" spans="1:24">
      <c r="A24" s="9" t="str">
        <f>'Sample List'!C28</f>
        <v>DEN078-POS_D_Hu_01</v>
      </c>
      <c r="B24" s="9" t="str">
        <f>'Experiment Overview'!$B$13</f>
        <v>DEN078</v>
      </c>
      <c r="C24" s="8">
        <f>'QS RNase P Analysis'!E29</f>
        <v>0</v>
      </c>
      <c r="D24" s="8">
        <f>'QS RNase P Analysis'!D29</f>
        <v>0</v>
      </c>
      <c r="E24" s="8">
        <f>'QS RNase P Analysis'!F29</f>
        <v>0</v>
      </c>
      <c r="F24" s="14">
        <f>'QS RNase P Analysis'!$R$39</f>
        <v>0.99950836248992281</v>
      </c>
      <c r="G24" s="8">
        <f>'QS RNase P Analysis'!$R$38</f>
        <v>92.967406287950553</v>
      </c>
      <c r="H24" s="8">
        <f>'QS RNase P Analysis'!$R$34</f>
        <v>39.933310202038875</v>
      </c>
      <c r="I24" s="15">
        <f>'QS RNase P Analysis'!$R$35</f>
        <v>-3.5028237731018188</v>
      </c>
      <c r="J24" s="8">
        <f>'QS 16S Analysis'!E29</f>
        <v>4.6877048657682887E-3</v>
      </c>
      <c r="K24" s="8">
        <f>'QS 16S Analysis'!D29</f>
        <v>29.803333333333331</v>
      </c>
      <c r="L24" s="8">
        <f>'QS 16S Analysis'!F29</f>
        <v>0.14158337420704378</v>
      </c>
      <c r="M24" s="14">
        <f>'QS 16S Analysis'!$R$39</f>
        <v>0.99981662334119403</v>
      </c>
      <c r="N24" s="8">
        <f>'QS 16S Analysis'!$R$38</f>
        <v>89.177137006252849</v>
      </c>
      <c r="O24" s="8">
        <f>'QS 16S Analysis'!$R$34</f>
        <v>28.614900693394915</v>
      </c>
      <c r="P24" s="15">
        <f>'QS 16S Analysis'!$R$35</f>
        <v>-3.6118210027095023</v>
      </c>
      <c r="Q24" s="9" t="str">
        <f>'Experiment Overview'!$O$6&amp;" (Verified)"</f>
        <v>4444554 (Verified)</v>
      </c>
      <c r="R24" s="9" t="str">
        <f>'Experiment Overview'!$O$7&amp;" (Verified)"</f>
        <v>3245729 (Verified)</v>
      </c>
      <c r="S24" s="9" t="str">
        <f>'Experiment Overview'!$O$8&amp;" (Verified)"</f>
        <v>0000636473 (Verified)</v>
      </c>
      <c r="T24" s="9" t="str">
        <f>'Experiment Overview'!$O$9&amp;" (Verified)"</f>
        <v>3106717 (Verified)</v>
      </c>
      <c r="U24" s="9" t="str">
        <f>'Experiment Overview'!$O$10&amp;" (Verified)"</f>
        <v>P250904-011-F09 (Verified)</v>
      </c>
      <c r="V24" s="9" t="str">
        <f>'Experiment Overview'!$O$11&amp;" (Verified)"</f>
        <v>24027229 (Verified)</v>
      </c>
      <c r="W24" s="9" t="str">
        <f>'Experiment Overview'!$O$12</f>
        <v>N/A</v>
      </c>
      <c r="X24" s="9" t="str">
        <f>'Experiment Overview'!$B$21</f>
        <v>00131</v>
      </c>
    </row>
    <row r="25" spans="1:24">
      <c r="A25" s="9" t="str">
        <f>'Sample List'!C29</f>
        <v>DEN078-NEG_D_Hu_01</v>
      </c>
      <c r="B25" s="9" t="str">
        <f>'Experiment Overview'!$B$13</f>
        <v>DEN078</v>
      </c>
      <c r="C25" s="8">
        <f>'QS RNase P Analysis'!E30</f>
        <v>0</v>
      </c>
      <c r="D25" s="8">
        <f>'QS RNase P Analysis'!D30</f>
        <v>0</v>
      </c>
      <c r="E25" s="8">
        <f>'QS RNase P Analysis'!F30</f>
        <v>0</v>
      </c>
      <c r="F25" s="14">
        <f>'QS RNase P Analysis'!$R$39</f>
        <v>0.99950836248992281</v>
      </c>
      <c r="G25" s="8">
        <f>'QS RNase P Analysis'!$R$38</f>
        <v>92.967406287950553</v>
      </c>
      <c r="H25" s="8">
        <f>'QS RNase P Analysis'!$R$34</f>
        <v>39.933310202038875</v>
      </c>
      <c r="I25" s="15">
        <f>'QS RNase P Analysis'!$R$35</f>
        <v>-3.5028237731018188</v>
      </c>
      <c r="J25" s="8">
        <f>'QS 16S Analysis'!E30</f>
        <v>4.8881137340614925E-3</v>
      </c>
      <c r="K25" s="8">
        <f>'QS 16S Analysis'!D30</f>
        <v>29.737666666666669</v>
      </c>
      <c r="L25" s="8">
        <f>'QS 16S Analysis'!F30</f>
        <v>0.22679228545243996</v>
      </c>
      <c r="M25" s="14">
        <f>'QS 16S Analysis'!$R$39</f>
        <v>0.99981662334119403</v>
      </c>
      <c r="N25" s="8">
        <f>'QS 16S Analysis'!$R$38</f>
        <v>89.177137006252849</v>
      </c>
      <c r="O25" s="8">
        <f>'QS 16S Analysis'!$R$34</f>
        <v>28.614900693394915</v>
      </c>
      <c r="P25" s="15">
        <f>'QS 16S Analysis'!$R$35</f>
        <v>-3.6118210027095023</v>
      </c>
      <c r="Q25" s="9" t="str">
        <f>'Experiment Overview'!$O$6&amp;" (Verified)"</f>
        <v>4444554 (Verified)</v>
      </c>
      <c r="R25" s="9" t="str">
        <f>'Experiment Overview'!$O$7&amp;" (Verified)"</f>
        <v>3245729 (Verified)</v>
      </c>
      <c r="S25" s="9" t="str">
        <f>'Experiment Overview'!$O$8&amp;" (Verified)"</f>
        <v>0000636473 (Verified)</v>
      </c>
      <c r="T25" s="9" t="str">
        <f>'Experiment Overview'!$O$9&amp;" (Verified)"</f>
        <v>3106717 (Verified)</v>
      </c>
      <c r="U25" s="9" t="str">
        <f>'Experiment Overview'!$O$10&amp;" (Verified)"</f>
        <v>P250904-011-F09 (Verified)</v>
      </c>
      <c r="V25" s="9" t="str">
        <f>'Experiment Overview'!$O$11&amp;" (Verified)"</f>
        <v>24027229 (Verified)</v>
      </c>
      <c r="W25" s="9" t="str">
        <f>'Experiment Overview'!$O$12</f>
        <v>N/A</v>
      </c>
      <c r="X25" s="9" t="str">
        <f>'Experiment Overview'!$B$21</f>
        <v>00131</v>
      </c>
    </row>
    <row r="28" spans="1:24">
      <c r="A28" s="96"/>
      <c r="B28" s="96"/>
    </row>
    <row r="29" spans="1:24">
      <c r="A29" s="96"/>
      <c r="B29" s="96"/>
    </row>
    <row r="30" spans="1:24">
      <c r="A30" s="96"/>
      <c r="B30" s="96"/>
    </row>
  </sheetData>
  <sheetProtection algorithmName="SHA-512" hashValue="o5qtSL9Qy9y2XFLACy4I7D6zbjiRmRRy46qtFfWcpuKOAxDAhnoterHX2n+QVPhByrC6wBd9NhKMuvUeHvigLQ==" saltValue="kFaKmXswSC7Hzqkd3lJkOA==" spinCount="100000" sheet="1" objects="1" scenarios="1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AAF7-F643-4643-853F-78FBAF2371AA}">
  <sheetPr codeName="Sheet10"/>
  <dimension ref="B1:D5"/>
  <sheetViews>
    <sheetView workbookViewId="0">
      <selection activeCell="D10" sqref="D10"/>
    </sheetView>
  </sheetViews>
  <sheetFormatPr defaultRowHeight="14.5"/>
  <cols>
    <col min="2" max="2" width="7.7265625" bestFit="1" customWidth="1"/>
    <col min="3" max="3" width="53.453125" bestFit="1" customWidth="1"/>
    <col min="4" max="4" width="49.453125" customWidth="1"/>
  </cols>
  <sheetData>
    <row r="1" spans="2:4" ht="15" thickBot="1"/>
    <row r="2" spans="2:4" ht="15" thickBot="1">
      <c r="B2" s="46" t="s">
        <v>211</v>
      </c>
      <c r="C2" s="47" t="s">
        <v>212</v>
      </c>
      <c r="D2" s="48" t="s">
        <v>213</v>
      </c>
    </row>
    <row r="3" spans="2:4">
      <c r="B3" s="43" t="s">
        <v>11</v>
      </c>
      <c r="C3" s="44" t="s">
        <v>209</v>
      </c>
      <c r="D3" s="45" t="s">
        <v>210</v>
      </c>
    </row>
    <row r="4" spans="2:4" ht="44" thickBot="1">
      <c r="B4" s="40" t="s">
        <v>12</v>
      </c>
      <c r="C4" s="41" t="s">
        <v>296</v>
      </c>
      <c r="D4" s="42" t="s">
        <v>297</v>
      </c>
    </row>
    <row r="5" spans="2:4" ht="15" thickBot="1">
      <c r="B5" s="40" t="s">
        <v>13</v>
      </c>
      <c r="C5" s="41" t="s">
        <v>399</v>
      </c>
      <c r="D5" s="42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AF9345F1B574AB49A0C6608599467" ma:contentTypeVersion="19" ma:contentTypeDescription="Create a new document." ma:contentTypeScope="" ma:versionID="292d966257281a978cf1b6b76a362fed">
  <xsd:schema xmlns:xsd="http://www.w3.org/2001/XMLSchema" xmlns:xs="http://www.w3.org/2001/XMLSchema" xmlns:p="http://schemas.microsoft.com/office/2006/metadata/properties" xmlns:ns2="d56f39ab-85bb-4330-aa84-bf6dc1d4e482" xmlns:ns3="8e2a3162-ddb1-4db1-abd8-ee2eba8734b6" targetNamespace="http://schemas.microsoft.com/office/2006/metadata/properties" ma:root="true" ma:fieldsID="ba490f805d18f7630f94803f2490e86a" ns2:_="" ns3:_="">
    <xsd:import namespace="d56f39ab-85bb-4330-aa84-bf6dc1d4e482"/>
    <xsd:import namespace="8e2a3162-ddb1-4db1-abd8-ee2eba8734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f39ab-85bb-4330-aa84-bf6dc1d4e4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ed9b9ef-28cf-424b-b7ef-f56d16cb433c}" ma:internalName="TaxCatchAll" ma:showField="CatchAllData" ma:web="d56f39ab-85bb-4330-aa84-bf6dc1d4e4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a3162-ddb1-4db1-abd8-ee2eba873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d24dbd6-8086-4b9c-8083-52c61c1a2a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8e2a3162-ddb1-4db1-abd8-ee2eba8734b6" xsi:nil="true"/>
    <SharedWithUsers xmlns="d56f39ab-85bb-4330-aa84-bf6dc1d4e482">
      <UserInfo>
        <DisplayName/>
        <AccountId xsi:nil="true"/>
        <AccountType/>
      </UserInfo>
    </SharedWithUsers>
    <lcf76f155ced4ddcb4097134ff3c332f xmlns="8e2a3162-ddb1-4db1-abd8-ee2eba8734b6">
      <Terms xmlns="http://schemas.microsoft.com/office/infopath/2007/PartnerControls"/>
    </lcf76f155ced4ddcb4097134ff3c332f>
    <TaxCatchAll xmlns="d56f39ab-85bb-4330-aa84-bf6dc1d4e482" xsi:nil="true"/>
  </documentManagement>
</p:properties>
</file>

<file path=customXml/itemProps1.xml><?xml version="1.0" encoding="utf-8"?>
<ds:datastoreItem xmlns:ds="http://schemas.openxmlformats.org/officeDocument/2006/customXml" ds:itemID="{BE460652-51CC-45FD-B0BB-4FBB465D1E05}"/>
</file>

<file path=customXml/itemProps2.xml><?xml version="1.0" encoding="utf-8"?>
<ds:datastoreItem xmlns:ds="http://schemas.openxmlformats.org/officeDocument/2006/customXml" ds:itemID="{C04CD218-700E-43AF-9CC9-60986339F8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CC3A58-203B-4CE8-AE1F-E54D217E62A9}">
  <ds:schemaRefs>
    <ds:schemaRef ds:uri="d56f39ab-85bb-4330-aa84-bf6dc1d4e482"/>
    <ds:schemaRef ds:uri="http://schemas.microsoft.com/office/2006/documentManagement/types"/>
    <ds:schemaRef ds:uri="http://purl.org/dc/elements/1.1/"/>
    <ds:schemaRef ds:uri="http://schemas.microsoft.com/office/2006/metadata/properties"/>
    <ds:schemaRef ds:uri="8e2a3162-ddb1-4db1-abd8-ee2eba8734b6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Experiment Overview</vt:lpstr>
      <vt:lpstr>Sample List</vt:lpstr>
      <vt:lpstr>Standards</vt:lpstr>
      <vt:lpstr>qPCR Setup</vt:lpstr>
      <vt:lpstr>LC Raw Results</vt:lpstr>
      <vt:lpstr>LC Calculations</vt:lpstr>
      <vt:lpstr>LC Analysis</vt:lpstr>
      <vt:lpstr>QS Raw Results</vt:lpstr>
      <vt:lpstr>QS Calculations</vt:lpstr>
      <vt:lpstr>QS RNase P Analysis</vt:lpstr>
      <vt:lpstr>QS 16S Analysis</vt:lpstr>
      <vt:lpstr>Result Export</vt:lpstr>
      <vt:lpstr>Revision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Scullion</dc:creator>
  <cp:keywords/>
  <dc:description/>
  <cp:lastModifiedBy>kamrun Patel</cp:lastModifiedBy>
  <cp:revision/>
  <cp:lastPrinted>2023-11-24T14:51:34Z</cp:lastPrinted>
  <dcterms:created xsi:type="dcterms:W3CDTF">2022-11-01T08:16:03Z</dcterms:created>
  <dcterms:modified xsi:type="dcterms:W3CDTF">2025-12-01T17:17:20Z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0x010100C1DAF9345F1B574AB49A0C6608599467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Order">
    <vt:r8>10807500</vt:r8>
  </property>
</Properties>
</file>